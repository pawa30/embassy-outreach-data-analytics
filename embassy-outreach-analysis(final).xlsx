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yap\Downloads\"/>
    </mc:Choice>
  </mc:AlternateContent>
  <xr:revisionPtr revIDLastSave="0" documentId="8_{A87994B7-4357-4302-A195-BE3F10F44C0D}" xr6:coauthVersionLast="47" xr6:coauthVersionMax="47" xr10:uidLastSave="{00000000-0000-0000-0000-000000000000}"/>
  <bookViews>
    <workbookView xWindow="-110" yWindow="-110" windowWidth="19420" windowHeight="10300" tabRatio="500" firstSheet="3" activeTab="7" xr2:uid="{00000000-000D-0000-FFFF-FFFF00000000}"/>
  </bookViews>
  <sheets>
    <sheet name="Dashboard" sheetId="1" r:id="rId1"/>
    <sheet name="Data_Quality_Review" sheetId="2" r:id="rId2"/>
    <sheet name="Settings" sheetId="3" r:id="rId3"/>
    <sheet name="Clean_Data" sheetId="4" r:id="rId4"/>
    <sheet name="Removed_Rows" sheetId="5" r:id="rId5"/>
    <sheet name="Cleaning_Log" sheetId="6" r:id="rId6"/>
    <sheet name="Raw_Data" sheetId="7" r:id="rId7"/>
    <sheet name="Dash_Calc" sheetId="8" r:id="rId8"/>
  </sheets>
  <definedNames>
    <definedName name="_xlnm._FilterDatabase" localSheetId="3" hidden="1">Clean_Data!$A$1:$W$85</definedName>
    <definedName name="_xlnm._FilterDatabase" localSheetId="6" hidden="1">Raw_Data!$A$1:$P$92</definedName>
    <definedName name="_xlnm.Print_Area" localSheetId="0">Dashboard!$A$1:$R$87</definedName>
    <definedName name="_xlnm.Print_Area" localSheetId="1">Data_Quality_Review!$A$1:$K$69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1" l="1"/>
  <c r="AG200" i="8"/>
  <c r="AF200" i="8"/>
  <c r="AE200" i="8"/>
  <c r="AD200" i="8"/>
  <c r="AC200" i="8"/>
  <c r="AB200" i="8"/>
  <c r="AA200" i="8"/>
  <c r="AG199" i="8"/>
  <c r="AF199" i="8"/>
  <c r="AE199" i="8"/>
  <c r="AD199" i="8"/>
  <c r="AC199" i="8"/>
  <c r="AB199" i="8"/>
  <c r="AA199" i="8"/>
  <c r="AG198" i="8"/>
  <c r="AF198" i="8"/>
  <c r="AE198" i="8"/>
  <c r="AD198" i="8"/>
  <c r="AC198" i="8"/>
  <c r="AB198" i="8"/>
  <c r="AA198" i="8"/>
  <c r="AG197" i="8"/>
  <c r="AF197" i="8"/>
  <c r="AE197" i="8"/>
  <c r="AC197" i="8"/>
  <c r="AB197" i="8"/>
  <c r="AD197" i="8" s="1"/>
  <c r="AA197" i="8"/>
  <c r="AG196" i="8"/>
  <c r="AF196" i="8"/>
  <c r="AE196" i="8"/>
  <c r="AC196" i="8"/>
  <c r="AB196" i="8"/>
  <c r="AD196" i="8" s="1"/>
  <c r="AA196" i="8"/>
  <c r="AG195" i="8"/>
  <c r="AF195" i="8"/>
  <c r="AC195" i="8"/>
  <c r="AE195" i="8" s="1"/>
  <c r="AB195" i="8"/>
  <c r="AD195" i="8" s="1"/>
  <c r="AA195" i="8"/>
  <c r="AG194" i="8"/>
  <c r="AF194" i="8"/>
  <c r="AD194" i="8"/>
  <c r="AC194" i="8"/>
  <c r="AE194" i="8" s="1"/>
  <c r="AB194" i="8"/>
  <c r="AA194" i="8"/>
  <c r="AG193" i="8"/>
  <c r="AF193" i="8"/>
  <c r="AE193" i="8"/>
  <c r="AD193" i="8"/>
  <c r="AC193" i="8"/>
  <c r="AB193" i="8"/>
  <c r="AA193" i="8"/>
  <c r="AG192" i="8"/>
  <c r="AF192" i="8"/>
  <c r="AC192" i="8"/>
  <c r="AE192" i="8" s="1"/>
  <c r="AB192" i="8"/>
  <c r="AD192" i="8" s="1"/>
  <c r="AA192" i="8"/>
  <c r="AG191" i="8"/>
  <c r="AF191" i="8"/>
  <c r="AC191" i="8"/>
  <c r="AE191" i="8" s="1"/>
  <c r="AB191" i="8"/>
  <c r="AD191" i="8" s="1"/>
  <c r="AA191" i="8"/>
  <c r="AG190" i="8"/>
  <c r="AF190" i="8"/>
  <c r="AD190" i="8"/>
  <c r="AC190" i="8"/>
  <c r="AE190" i="8" s="1"/>
  <c r="AB190" i="8"/>
  <c r="AA190" i="8"/>
  <c r="AG189" i="8"/>
  <c r="AF189" i="8"/>
  <c r="AE189" i="8"/>
  <c r="AC189" i="8"/>
  <c r="AB189" i="8"/>
  <c r="AD189" i="8" s="1"/>
  <c r="AA189" i="8"/>
  <c r="AG188" i="8"/>
  <c r="AF188" i="8"/>
  <c r="AE188" i="8"/>
  <c r="AC188" i="8"/>
  <c r="AB188" i="8"/>
  <c r="AD188" i="8" s="1"/>
  <c r="AA188" i="8"/>
  <c r="AG187" i="8"/>
  <c r="AF187" i="8"/>
  <c r="AD187" i="8"/>
  <c r="AC187" i="8"/>
  <c r="AE187" i="8" s="1"/>
  <c r="AB187" i="8"/>
  <c r="AA187" i="8"/>
  <c r="AG186" i="8"/>
  <c r="AF186" i="8"/>
  <c r="AD186" i="8"/>
  <c r="AC186" i="8"/>
  <c r="AE186" i="8" s="1"/>
  <c r="AB186" i="8"/>
  <c r="AA186" i="8"/>
  <c r="AG185" i="8"/>
  <c r="AF185" i="8"/>
  <c r="AC185" i="8"/>
  <c r="AE185" i="8" s="1"/>
  <c r="AB185" i="8"/>
  <c r="AD185" i="8" s="1"/>
  <c r="AA185" i="8"/>
  <c r="AG184" i="8"/>
  <c r="AF184" i="8"/>
  <c r="AD184" i="8"/>
  <c r="AC184" i="8"/>
  <c r="AE184" i="8" s="1"/>
  <c r="AB184" i="8"/>
  <c r="AA184" i="8"/>
  <c r="AG183" i="8"/>
  <c r="AF183" i="8"/>
  <c r="AC183" i="8"/>
  <c r="AE183" i="8" s="1"/>
  <c r="AB183" i="8"/>
  <c r="AD183" i="8" s="1"/>
  <c r="AA183" i="8"/>
  <c r="AG182" i="8"/>
  <c r="AF182" i="8"/>
  <c r="AC182" i="8"/>
  <c r="AE182" i="8" s="1"/>
  <c r="AB182" i="8"/>
  <c r="AD182" i="8" s="1"/>
  <c r="AA182" i="8"/>
  <c r="AG181" i="8"/>
  <c r="AF181" i="8"/>
  <c r="AE181" i="8"/>
  <c r="AD181" i="8"/>
  <c r="AC181" i="8"/>
  <c r="AB181" i="8"/>
  <c r="AA181" i="8"/>
  <c r="AG180" i="8"/>
  <c r="AF180" i="8"/>
  <c r="AE180" i="8"/>
  <c r="AC180" i="8"/>
  <c r="AB180" i="8"/>
  <c r="AD180" i="8" s="1"/>
  <c r="AA180" i="8"/>
  <c r="AG179" i="8"/>
  <c r="AF179" i="8"/>
  <c r="AE179" i="8"/>
  <c r="AC179" i="8"/>
  <c r="AB179" i="8"/>
  <c r="AD179" i="8" s="1"/>
  <c r="AA179" i="8"/>
  <c r="AG178" i="8"/>
  <c r="AF178" i="8"/>
  <c r="AC178" i="8"/>
  <c r="AE178" i="8" s="1"/>
  <c r="AB178" i="8"/>
  <c r="AD178" i="8" s="1"/>
  <c r="AA178" i="8"/>
  <c r="AG177" i="8"/>
  <c r="AF177" i="8"/>
  <c r="AE177" i="8"/>
  <c r="AC177" i="8"/>
  <c r="AB177" i="8"/>
  <c r="AD177" i="8" s="1"/>
  <c r="AA177" i="8"/>
  <c r="AG176" i="8"/>
  <c r="AF176" i="8"/>
  <c r="AD176" i="8"/>
  <c r="AC176" i="8"/>
  <c r="AE176" i="8" s="1"/>
  <c r="AB176" i="8"/>
  <c r="AA176" i="8"/>
  <c r="AG175" i="8"/>
  <c r="AF175" i="8"/>
  <c r="AD175" i="8"/>
  <c r="AC175" i="8"/>
  <c r="AE175" i="8" s="1"/>
  <c r="AB175" i="8"/>
  <c r="AA175" i="8"/>
  <c r="AG174" i="8"/>
  <c r="AF174" i="8"/>
  <c r="AE174" i="8"/>
  <c r="AD174" i="8"/>
  <c r="AC174" i="8"/>
  <c r="AB174" i="8"/>
  <c r="AA174" i="8"/>
  <c r="AG173" i="8"/>
  <c r="AF173" i="8"/>
  <c r="AC173" i="8"/>
  <c r="AE173" i="8" s="1"/>
  <c r="AB173" i="8"/>
  <c r="AD173" i="8" s="1"/>
  <c r="AA173" i="8"/>
  <c r="AG172" i="8"/>
  <c r="AF172" i="8"/>
  <c r="AD172" i="8"/>
  <c r="AC172" i="8"/>
  <c r="AE172" i="8" s="1"/>
  <c r="AB172" i="8"/>
  <c r="AA172" i="8"/>
  <c r="AG171" i="8"/>
  <c r="AF171" i="8"/>
  <c r="AC171" i="8"/>
  <c r="AE171" i="8" s="1"/>
  <c r="AB171" i="8"/>
  <c r="AD171" i="8" s="1"/>
  <c r="AA171" i="8"/>
  <c r="AG170" i="8"/>
  <c r="AF170" i="8"/>
  <c r="AC170" i="8"/>
  <c r="AE170" i="8" s="1"/>
  <c r="AB170" i="8"/>
  <c r="AD170" i="8" s="1"/>
  <c r="AA170" i="8"/>
  <c r="AG169" i="8"/>
  <c r="AF169" i="8"/>
  <c r="AE169" i="8"/>
  <c r="AD169" i="8"/>
  <c r="AC169" i="8"/>
  <c r="AB169" i="8"/>
  <c r="AA169" i="8"/>
  <c r="AG168" i="8"/>
  <c r="AF168" i="8"/>
  <c r="AE168" i="8"/>
  <c r="AC168" i="8"/>
  <c r="AB168" i="8"/>
  <c r="AD168" i="8" s="1"/>
  <c r="AA168" i="8"/>
  <c r="AG167" i="8"/>
  <c r="AF167" i="8"/>
  <c r="AE167" i="8"/>
  <c r="AC167" i="8"/>
  <c r="AB167" i="8"/>
  <c r="AD167" i="8" s="1"/>
  <c r="AA167" i="8"/>
  <c r="AG166" i="8"/>
  <c r="AF166" i="8"/>
  <c r="AC166" i="8"/>
  <c r="AE166" i="8" s="1"/>
  <c r="AB166" i="8"/>
  <c r="AD166" i="8" s="1"/>
  <c r="AA166" i="8"/>
  <c r="AG165" i="8"/>
  <c r="AF165" i="8"/>
  <c r="AE165" i="8"/>
  <c r="AC165" i="8"/>
  <c r="AB165" i="8"/>
  <c r="AD165" i="8" s="1"/>
  <c r="AA165" i="8"/>
  <c r="AG164" i="8"/>
  <c r="AF164" i="8"/>
  <c r="AD164" i="8"/>
  <c r="AC164" i="8"/>
  <c r="AE164" i="8" s="1"/>
  <c r="AB164" i="8"/>
  <c r="AA164" i="8"/>
  <c r="AG163" i="8"/>
  <c r="AF163" i="8"/>
  <c r="AD163" i="8"/>
  <c r="AC163" i="8"/>
  <c r="AE163" i="8" s="1"/>
  <c r="AB163" i="8"/>
  <c r="AA163" i="8"/>
  <c r="AG162" i="8"/>
  <c r="AF162" i="8"/>
  <c r="AE162" i="8"/>
  <c r="AD162" i="8"/>
  <c r="AC162" i="8"/>
  <c r="AB162" i="8"/>
  <c r="AA162" i="8"/>
  <c r="AG161" i="8"/>
  <c r="AF161" i="8"/>
  <c r="AC161" i="8"/>
  <c r="AE161" i="8" s="1"/>
  <c r="AB161" i="8"/>
  <c r="AD161" i="8" s="1"/>
  <c r="AA161" i="8"/>
  <c r="AG160" i="8"/>
  <c r="AF160" i="8"/>
  <c r="AD160" i="8"/>
  <c r="AC160" i="8"/>
  <c r="AE160" i="8" s="1"/>
  <c r="AB160" i="8"/>
  <c r="AA160" i="8"/>
  <c r="AG159" i="8"/>
  <c r="AF159" i="8"/>
  <c r="AC159" i="8"/>
  <c r="AE159" i="8" s="1"/>
  <c r="AB159" i="8"/>
  <c r="AD159" i="8" s="1"/>
  <c r="AA159" i="8"/>
  <c r="AG158" i="8"/>
  <c r="AF158" i="8"/>
  <c r="AC158" i="8"/>
  <c r="AE158" i="8" s="1"/>
  <c r="AB158" i="8"/>
  <c r="AD158" i="8" s="1"/>
  <c r="AA158" i="8"/>
  <c r="AG157" i="8"/>
  <c r="AF157" i="8"/>
  <c r="AE157" i="8"/>
  <c r="AD157" i="8"/>
  <c r="AC157" i="8"/>
  <c r="AB157" i="8"/>
  <c r="AA157" i="8"/>
  <c r="AG156" i="8"/>
  <c r="AF156" i="8"/>
  <c r="AE156" i="8"/>
  <c r="AC156" i="8"/>
  <c r="AB156" i="8"/>
  <c r="AD156" i="8" s="1"/>
  <c r="AA156" i="8"/>
  <c r="AG155" i="8"/>
  <c r="AF155" i="8"/>
  <c r="AE155" i="8"/>
  <c r="AC155" i="8"/>
  <c r="AB155" i="8"/>
  <c r="AD155" i="8" s="1"/>
  <c r="AA155" i="8"/>
  <c r="AG154" i="8"/>
  <c r="AF154" i="8"/>
  <c r="AC154" i="8"/>
  <c r="AE154" i="8" s="1"/>
  <c r="AB154" i="8"/>
  <c r="AD154" i="8" s="1"/>
  <c r="AA154" i="8"/>
  <c r="AG153" i="8"/>
  <c r="AF153" i="8"/>
  <c r="AE153" i="8"/>
  <c r="AC153" i="8"/>
  <c r="AB153" i="8"/>
  <c r="AD153" i="8" s="1"/>
  <c r="AA153" i="8"/>
  <c r="AG152" i="8"/>
  <c r="AF152" i="8"/>
  <c r="AD152" i="8"/>
  <c r="AC152" i="8"/>
  <c r="AE152" i="8" s="1"/>
  <c r="AB152" i="8"/>
  <c r="AA152" i="8"/>
  <c r="AG151" i="8"/>
  <c r="AF151" i="8"/>
  <c r="AD151" i="8"/>
  <c r="AC151" i="8"/>
  <c r="AE151" i="8" s="1"/>
  <c r="AB151" i="8"/>
  <c r="AA151" i="8"/>
  <c r="AG150" i="8"/>
  <c r="AF150" i="8"/>
  <c r="AE150" i="8"/>
  <c r="AD150" i="8"/>
  <c r="AC150" i="8"/>
  <c r="AB150" i="8"/>
  <c r="AA150" i="8"/>
  <c r="AG149" i="8"/>
  <c r="AF149" i="8"/>
  <c r="AC149" i="8"/>
  <c r="AE149" i="8" s="1"/>
  <c r="AB149" i="8"/>
  <c r="AD149" i="8" s="1"/>
  <c r="AA149" i="8"/>
  <c r="AG148" i="8"/>
  <c r="AF148" i="8"/>
  <c r="AD148" i="8"/>
  <c r="AC148" i="8"/>
  <c r="AE148" i="8" s="1"/>
  <c r="AB148" i="8"/>
  <c r="AA148" i="8"/>
  <c r="AG147" i="8"/>
  <c r="AF147" i="8"/>
  <c r="AC147" i="8"/>
  <c r="AE147" i="8" s="1"/>
  <c r="AB147" i="8"/>
  <c r="AD147" i="8" s="1"/>
  <c r="AA147" i="8"/>
  <c r="AG146" i="8"/>
  <c r="AF146" i="8"/>
  <c r="AC146" i="8"/>
  <c r="AE146" i="8" s="1"/>
  <c r="AB146" i="8"/>
  <c r="AD146" i="8" s="1"/>
  <c r="AA146" i="8"/>
  <c r="AG145" i="8"/>
  <c r="AF145" i="8"/>
  <c r="AE145" i="8"/>
  <c r="AD145" i="8"/>
  <c r="AC145" i="8"/>
  <c r="AB145" i="8"/>
  <c r="AA145" i="8"/>
  <c r="AG144" i="8"/>
  <c r="AF144" i="8"/>
  <c r="AE144" i="8"/>
  <c r="AC144" i="8"/>
  <c r="AB144" i="8"/>
  <c r="AD144" i="8" s="1"/>
  <c r="AA144" i="8"/>
  <c r="AG143" i="8"/>
  <c r="AF143" i="8"/>
  <c r="AE143" i="8"/>
  <c r="AC143" i="8"/>
  <c r="AB143" i="8"/>
  <c r="AD143" i="8" s="1"/>
  <c r="AA143" i="8"/>
  <c r="AG142" i="8"/>
  <c r="AF142" i="8"/>
  <c r="AC142" i="8"/>
  <c r="AE142" i="8" s="1"/>
  <c r="AB142" i="8"/>
  <c r="AD142" i="8" s="1"/>
  <c r="AA142" i="8"/>
  <c r="AG141" i="8"/>
  <c r="AF141" i="8"/>
  <c r="AE141" i="8"/>
  <c r="AC141" i="8"/>
  <c r="AB141" i="8"/>
  <c r="AD141" i="8" s="1"/>
  <c r="AA141" i="8"/>
  <c r="AG140" i="8"/>
  <c r="AF140" i="8"/>
  <c r="AD140" i="8"/>
  <c r="AC140" i="8"/>
  <c r="AE140" i="8" s="1"/>
  <c r="AB140" i="8"/>
  <c r="AA140" i="8"/>
  <c r="AG139" i="8"/>
  <c r="AF139" i="8"/>
  <c r="AD139" i="8"/>
  <c r="AC139" i="8"/>
  <c r="AE139" i="8" s="1"/>
  <c r="AB139" i="8"/>
  <c r="AA139" i="8"/>
  <c r="AG138" i="8"/>
  <c r="AF138" i="8"/>
  <c r="AE138" i="8"/>
  <c r="AD138" i="8"/>
  <c r="AC138" i="8"/>
  <c r="AB138" i="8"/>
  <c r="AA138" i="8"/>
  <c r="AG137" i="8"/>
  <c r="AF137" i="8"/>
  <c r="AC137" i="8"/>
  <c r="AE137" i="8" s="1"/>
  <c r="AB137" i="8"/>
  <c r="AD137" i="8" s="1"/>
  <c r="AA137" i="8"/>
  <c r="AG136" i="8"/>
  <c r="AF136" i="8"/>
  <c r="AD136" i="8"/>
  <c r="AC136" i="8"/>
  <c r="AE136" i="8" s="1"/>
  <c r="AB136" i="8"/>
  <c r="AA136" i="8"/>
  <c r="AG135" i="8"/>
  <c r="AF135" i="8"/>
  <c r="AC135" i="8"/>
  <c r="AE135" i="8" s="1"/>
  <c r="AB135" i="8"/>
  <c r="AD135" i="8" s="1"/>
  <c r="AA135" i="8"/>
  <c r="AG134" i="8"/>
  <c r="AF134" i="8"/>
  <c r="AC134" i="8"/>
  <c r="AE134" i="8" s="1"/>
  <c r="AB134" i="8"/>
  <c r="AD134" i="8" s="1"/>
  <c r="AA134" i="8"/>
  <c r="AG133" i="8"/>
  <c r="AF133" i="8"/>
  <c r="AE133" i="8"/>
  <c r="AD133" i="8"/>
  <c r="AC133" i="8"/>
  <c r="AB133" i="8"/>
  <c r="AA133" i="8"/>
  <c r="AG132" i="8"/>
  <c r="AF132" i="8"/>
  <c r="AE132" i="8"/>
  <c r="AC132" i="8"/>
  <c r="AB132" i="8"/>
  <c r="AD132" i="8" s="1"/>
  <c r="AA132" i="8"/>
  <c r="AG131" i="8"/>
  <c r="AF131" i="8"/>
  <c r="AE131" i="8"/>
  <c r="AC131" i="8"/>
  <c r="AB131" i="8"/>
  <c r="AD131" i="8" s="1"/>
  <c r="AA131" i="8"/>
  <c r="AG130" i="8"/>
  <c r="AF130" i="8"/>
  <c r="AC130" i="8"/>
  <c r="AE130" i="8" s="1"/>
  <c r="AB130" i="8"/>
  <c r="AD130" i="8" s="1"/>
  <c r="AA130" i="8"/>
  <c r="AG129" i="8"/>
  <c r="AF129" i="8"/>
  <c r="AE129" i="8"/>
  <c r="AC129" i="8"/>
  <c r="AB129" i="8"/>
  <c r="AD129" i="8" s="1"/>
  <c r="AA129" i="8"/>
  <c r="AG128" i="8"/>
  <c r="AF128" i="8"/>
  <c r="AD128" i="8"/>
  <c r="AC128" i="8"/>
  <c r="AE128" i="8" s="1"/>
  <c r="AB128" i="8"/>
  <c r="AA128" i="8"/>
  <c r="AG127" i="8"/>
  <c r="AF127" i="8"/>
  <c r="AE127" i="8"/>
  <c r="AD127" i="8"/>
  <c r="AC127" i="8"/>
  <c r="AB127" i="8"/>
  <c r="AA127" i="8"/>
  <c r="AG126" i="8"/>
  <c r="AF126" i="8"/>
  <c r="AE126" i="8"/>
  <c r="AD126" i="8"/>
  <c r="AC126" i="8"/>
  <c r="AB126" i="8"/>
  <c r="AA126" i="8"/>
  <c r="AG125" i="8"/>
  <c r="AF125" i="8"/>
  <c r="AC125" i="8"/>
  <c r="AE125" i="8" s="1"/>
  <c r="AB125" i="8"/>
  <c r="AD125" i="8" s="1"/>
  <c r="AA125" i="8"/>
  <c r="AG124" i="8"/>
  <c r="AF124" i="8"/>
  <c r="AD124" i="8"/>
  <c r="AC124" i="8"/>
  <c r="AE124" i="8" s="1"/>
  <c r="AB124" i="8"/>
  <c r="AA124" i="8"/>
  <c r="AG123" i="8"/>
  <c r="AF123" i="8"/>
  <c r="AC123" i="8"/>
  <c r="AE123" i="8" s="1"/>
  <c r="AB123" i="8"/>
  <c r="AD123" i="8" s="1"/>
  <c r="AA123" i="8"/>
  <c r="AG122" i="8"/>
  <c r="AF122" i="8"/>
  <c r="AD122" i="8"/>
  <c r="AC122" i="8"/>
  <c r="AE122" i="8" s="1"/>
  <c r="AB122" i="8"/>
  <c r="AA122" i="8"/>
  <c r="AG121" i="8"/>
  <c r="AF121" i="8"/>
  <c r="AE121" i="8"/>
  <c r="AD121" i="8"/>
  <c r="AC121" i="8"/>
  <c r="AB121" i="8"/>
  <c r="AA121" i="8"/>
  <c r="AG120" i="8"/>
  <c r="AF120" i="8"/>
  <c r="AE120" i="8"/>
  <c r="AC120" i="8"/>
  <c r="AB120" i="8"/>
  <c r="AD120" i="8" s="1"/>
  <c r="AA120" i="8"/>
  <c r="AG119" i="8"/>
  <c r="AF119" i="8"/>
  <c r="AE119" i="8"/>
  <c r="AC119" i="8"/>
  <c r="AB119" i="8"/>
  <c r="AD119" i="8" s="1"/>
  <c r="AA119" i="8"/>
  <c r="AG118" i="8"/>
  <c r="AF118" i="8"/>
  <c r="AC118" i="8"/>
  <c r="AE118" i="8" s="1"/>
  <c r="AB118" i="8"/>
  <c r="AD118" i="8" s="1"/>
  <c r="AA118" i="8"/>
  <c r="AG117" i="8"/>
  <c r="AF117" i="8"/>
  <c r="AC117" i="8"/>
  <c r="AE117" i="8" s="1"/>
  <c r="AB117" i="8"/>
  <c r="AD117" i="8" s="1"/>
  <c r="AA117" i="8"/>
  <c r="AG116" i="8"/>
  <c r="AF116" i="8"/>
  <c r="AD116" i="8"/>
  <c r="AC116" i="8"/>
  <c r="AE116" i="8" s="1"/>
  <c r="AB116" i="8"/>
  <c r="AA116" i="8"/>
  <c r="AG115" i="8"/>
  <c r="AF115" i="8"/>
  <c r="AE115" i="8"/>
  <c r="AD115" i="8"/>
  <c r="AC115" i="8"/>
  <c r="AB115" i="8"/>
  <c r="AA115" i="8"/>
  <c r="AG114" i="8"/>
  <c r="AF114" i="8"/>
  <c r="AE114" i="8"/>
  <c r="AD114" i="8"/>
  <c r="AC114" i="8"/>
  <c r="AB114" i="8"/>
  <c r="AA114" i="8"/>
  <c r="AG113" i="8"/>
  <c r="AF113" i="8"/>
  <c r="AC113" i="8"/>
  <c r="AE113" i="8" s="1"/>
  <c r="AB113" i="8"/>
  <c r="AD113" i="8" s="1"/>
  <c r="AA113" i="8"/>
  <c r="AG112" i="8"/>
  <c r="AF112" i="8"/>
  <c r="AC112" i="8"/>
  <c r="AE112" i="8" s="1"/>
  <c r="AB112" i="8"/>
  <c r="AD112" i="8" s="1"/>
  <c r="AA112" i="8"/>
  <c r="AG111" i="8"/>
  <c r="AF111" i="8"/>
  <c r="AC111" i="8"/>
  <c r="AE111" i="8" s="1"/>
  <c r="AB111" i="8"/>
  <c r="AD111" i="8" s="1"/>
  <c r="AA111" i="8"/>
  <c r="AG110" i="8"/>
  <c r="AF110" i="8"/>
  <c r="AD110" i="8"/>
  <c r="AC110" i="8"/>
  <c r="AE110" i="8" s="1"/>
  <c r="AB110" i="8"/>
  <c r="AA110" i="8"/>
  <c r="AG109" i="8"/>
  <c r="AF109" i="8"/>
  <c r="AE109" i="8"/>
  <c r="AD109" i="8"/>
  <c r="AC109" i="8"/>
  <c r="AB109" i="8"/>
  <c r="AA109" i="8"/>
  <c r="AG108" i="8"/>
  <c r="AF108" i="8"/>
  <c r="AE108" i="8"/>
  <c r="AC108" i="8"/>
  <c r="AB108" i="8"/>
  <c r="AD108" i="8" s="1"/>
  <c r="AA108" i="8"/>
  <c r="AG107" i="8"/>
  <c r="AF107" i="8"/>
  <c r="AE107" i="8"/>
  <c r="AC107" i="8"/>
  <c r="AB107" i="8"/>
  <c r="AD107" i="8" s="1"/>
  <c r="AA107" i="8"/>
  <c r="B107" i="8"/>
  <c r="AG106" i="8"/>
  <c r="AF106" i="8"/>
  <c r="AC106" i="8"/>
  <c r="AE106" i="8" s="1"/>
  <c r="AB106" i="8"/>
  <c r="AD106" i="8" s="1"/>
  <c r="AA106" i="8"/>
  <c r="AG105" i="8"/>
  <c r="AF105" i="8"/>
  <c r="AE105" i="8"/>
  <c r="AD105" i="8"/>
  <c r="AC105" i="8"/>
  <c r="AB105" i="8"/>
  <c r="AA105" i="8"/>
  <c r="B105" i="8"/>
  <c r="AG104" i="8"/>
  <c r="AF104" i="8"/>
  <c r="AE104" i="8"/>
  <c r="AC104" i="8"/>
  <c r="AB104" i="8"/>
  <c r="AD104" i="8" s="1"/>
  <c r="AA104" i="8"/>
  <c r="AG103" i="8"/>
  <c r="AF103" i="8"/>
  <c r="AD103" i="8"/>
  <c r="AC103" i="8"/>
  <c r="AE103" i="8" s="1"/>
  <c r="AB103" i="8"/>
  <c r="AA103" i="8"/>
  <c r="AG102" i="8"/>
  <c r="AF102" i="8"/>
  <c r="AE102" i="8"/>
  <c r="AD102" i="8"/>
  <c r="AC102" i="8"/>
  <c r="AB102" i="8"/>
  <c r="AA102" i="8"/>
  <c r="AG101" i="8"/>
  <c r="AF101" i="8"/>
  <c r="AE101" i="8"/>
  <c r="AD101" i="8"/>
  <c r="AC101" i="8"/>
  <c r="AB101" i="8"/>
  <c r="AA101" i="8"/>
  <c r="AG100" i="8"/>
  <c r="AF100" i="8"/>
  <c r="AD100" i="8"/>
  <c r="AC100" i="8"/>
  <c r="AE100" i="8" s="1"/>
  <c r="AB100" i="8"/>
  <c r="AA100" i="8"/>
  <c r="AG99" i="8"/>
  <c r="AF99" i="8"/>
  <c r="AE99" i="8"/>
  <c r="AD99" i="8"/>
  <c r="AC99" i="8"/>
  <c r="AB99" i="8"/>
  <c r="AA99" i="8"/>
  <c r="AG98" i="8"/>
  <c r="AF98" i="8"/>
  <c r="AE98" i="8"/>
  <c r="AD98" i="8"/>
  <c r="AC98" i="8"/>
  <c r="AB98" i="8"/>
  <c r="AA98" i="8"/>
  <c r="AG97" i="8"/>
  <c r="AF97" i="8"/>
  <c r="AC97" i="8"/>
  <c r="AE97" i="8" s="1"/>
  <c r="AB97" i="8"/>
  <c r="AD97" i="8" s="1"/>
  <c r="AA97" i="8"/>
  <c r="AG96" i="8"/>
  <c r="AF96" i="8"/>
  <c r="AC96" i="8"/>
  <c r="AE96" i="8" s="1"/>
  <c r="AB96" i="8"/>
  <c r="AD96" i="8" s="1"/>
  <c r="AA96" i="8"/>
  <c r="AG95" i="8"/>
  <c r="AF95" i="8"/>
  <c r="AE95" i="8"/>
  <c r="AD95" i="8"/>
  <c r="AC95" i="8"/>
  <c r="AB95" i="8"/>
  <c r="AA95" i="8"/>
  <c r="B95" i="8"/>
  <c r="AG94" i="8"/>
  <c r="AF94" i="8"/>
  <c r="AE94" i="8"/>
  <c r="AC94" i="8"/>
  <c r="AB94" i="8"/>
  <c r="AD94" i="8" s="1"/>
  <c r="AA94" i="8"/>
  <c r="AG93" i="8"/>
  <c r="AF93" i="8"/>
  <c r="AD93" i="8"/>
  <c r="AC93" i="8"/>
  <c r="AE93" i="8" s="1"/>
  <c r="AB93" i="8"/>
  <c r="AA93" i="8"/>
  <c r="AG92" i="8"/>
  <c r="AF92" i="8"/>
  <c r="AE92" i="8"/>
  <c r="AD92" i="8"/>
  <c r="AC92" i="8"/>
  <c r="AB92" i="8"/>
  <c r="AA92" i="8"/>
  <c r="B92" i="8"/>
  <c r="AG91" i="8"/>
  <c r="AF91" i="8"/>
  <c r="AE91" i="8"/>
  <c r="AC91" i="8"/>
  <c r="AB91" i="8"/>
  <c r="AD91" i="8" s="1"/>
  <c r="AA91" i="8"/>
  <c r="B91" i="8"/>
  <c r="AG90" i="8"/>
  <c r="AF90" i="8"/>
  <c r="AE90" i="8"/>
  <c r="AC90" i="8"/>
  <c r="AB90" i="8"/>
  <c r="AD90" i="8" s="1"/>
  <c r="AA90" i="8"/>
  <c r="B90" i="8"/>
  <c r="AG89" i="8"/>
  <c r="AF89" i="8"/>
  <c r="AE89" i="8"/>
  <c r="AC89" i="8"/>
  <c r="AB89" i="8"/>
  <c r="AD89" i="8" s="1"/>
  <c r="AA89" i="8"/>
  <c r="B89" i="8"/>
  <c r="AG88" i="8"/>
  <c r="AF88" i="8"/>
  <c r="AE88" i="8"/>
  <c r="AC88" i="8"/>
  <c r="AB88" i="8"/>
  <c r="AD88" i="8" s="1"/>
  <c r="AA88" i="8"/>
  <c r="AG87" i="8"/>
  <c r="AF87" i="8"/>
  <c r="AE87" i="8"/>
  <c r="AC87" i="8"/>
  <c r="AB87" i="8"/>
  <c r="AD87" i="8" s="1"/>
  <c r="AA87" i="8"/>
  <c r="B87" i="8"/>
  <c r="AG86" i="8"/>
  <c r="AF86" i="8"/>
  <c r="AE86" i="8"/>
  <c r="AC86" i="8"/>
  <c r="AB86" i="8"/>
  <c r="AD86" i="8" s="1"/>
  <c r="AA86" i="8"/>
  <c r="B86" i="8"/>
  <c r="AG85" i="8"/>
  <c r="AF85" i="8"/>
  <c r="AA85" i="8"/>
  <c r="B85" i="8"/>
  <c r="AG84" i="8"/>
  <c r="AF84" i="8"/>
  <c r="AA84" i="8"/>
  <c r="B84" i="8"/>
  <c r="AG83" i="8"/>
  <c r="AF83" i="8"/>
  <c r="AA83" i="8"/>
  <c r="AG82" i="8"/>
  <c r="AF82" i="8"/>
  <c r="AA82" i="8"/>
  <c r="AG81" i="8"/>
  <c r="AF81" i="8"/>
  <c r="AA81" i="8"/>
  <c r="AG80" i="8"/>
  <c r="AF80" i="8"/>
  <c r="AA80" i="8"/>
  <c r="AG79" i="8"/>
  <c r="AF79" i="8"/>
  <c r="AA79" i="8"/>
  <c r="AG78" i="8"/>
  <c r="AF78" i="8"/>
  <c r="AA78" i="8"/>
  <c r="AG77" i="8"/>
  <c r="AF77" i="8"/>
  <c r="AA77" i="8"/>
  <c r="AG76" i="8"/>
  <c r="AF76" i="8"/>
  <c r="AA76" i="8"/>
  <c r="AG75" i="8"/>
  <c r="AF75" i="8"/>
  <c r="AA75" i="8"/>
  <c r="AG74" i="8"/>
  <c r="AF74" i="8"/>
  <c r="AA74" i="8"/>
  <c r="AG73" i="8"/>
  <c r="AF73" i="8"/>
  <c r="AA73" i="8"/>
  <c r="AG72" i="8"/>
  <c r="AF72" i="8"/>
  <c r="AA72" i="8"/>
  <c r="AG71" i="8"/>
  <c r="AF71" i="8"/>
  <c r="AA71" i="8"/>
  <c r="AG70" i="8"/>
  <c r="AF70" i="8"/>
  <c r="AA70" i="8"/>
  <c r="AG69" i="8"/>
  <c r="AF69" i="8"/>
  <c r="AA69" i="8"/>
  <c r="AG68" i="8"/>
  <c r="AF68" i="8"/>
  <c r="AA68" i="8"/>
  <c r="AG67" i="8"/>
  <c r="AF67" i="8"/>
  <c r="AA67" i="8"/>
  <c r="AG66" i="8"/>
  <c r="AF66" i="8"/>
  <c r="AA66" i="8"/>
  <c r="AG65" i="8"/>
  <c r="AF65" i="8"/>
  <c r="AA65" i="8"/>
  <c r="B65" i="8"/>
  <c r="AG64" i="8"/>
  <c r="AF64" i="8"/>
  <c r="AA64" i="8"/>
  <c r="B64" i="8"/>
  <c r="AG63" i="8"/>
  <c r="AF63" i="8"/>
  <c r="AA63" i="8"/>
  <c r="B63" i="8"/>
  <c r="AG62" i="8"/>
  <c r="AF62" i="8"/>
  <c r="AA62" i="8"/>
  <c r="B62" i="8"/>
  <c r="AG61" i="8"/>
  <c r="AF61" i="8"/>
  <c r="AA61" i="8"/>
  <c r="B61" i="8"/>
  <c r="AG60" i="8"/>
  <c r="AF60" i="8"/>
  <c r="AA60" i="8"/>
  <c r="B60" i="8"/>
  <c r="AG59" i="8"/>
  <c r="AF59" i="8"/>
  <c r="AA59" i="8"/>
  <c r="AG58" i="8"/>
  <c r="AF58" i="8"/>
  <c r="AA58" i="8"/>
  <c r="AG57" i="8"/>
  <c r="AF57" i="8"/>
  <c r="AA57" i="8"/>
  <c r="AG56" i="8"/>
  <c r="AF56" i="8"/>
  <c r="AA56" i="8"/>
  <c r="AG55" i="8"/>
  <c r="AF55" i="8"/>
  <c r="AA55" i="8"/>
  <c r="E55" i="8"/>
  <c r="D55" i="8"/>
  <c r="C55" i="8"/>
  <c r="B55" i="8"/>
  <c r="AG54" i="8"/>
  <c r="AF54" i="8"/>
  <c r="AA54" i="8"/>
  <c r="E54" i="8"/>
  <c r="D54" i="8"/>
  <c r="C54" i="8"/>
  <c r="B54" i="8"/>
  <c r="AG53" i="8"/>
  <c r="AF53" i="8"/>
  <c r="AA53" i="8"/>
  <c r="E53" i="8"/>
  <c r="D53" i="8"/>
  <c r="D56" i="8" s="1"/>
  <c r="C53" i="8"/>
  <c r="B53" i="8"/>
  <c r="AG52" i="8"/>
  <c r="AF52" i="8"/>
  <c r="AA52" i="8"/>
  <c r="E52" i="8"/>
  <c r="D52" i="8"/>
  <c r="C52" i="8"/>
  <c r="B52" i="8"/>
  <c r="AG51" i="8"/>
  <c r="AF51" i="8"/>
  <c r="AA51" i="8"/>
  <c r="E51" i="8"/>
  <c r="D51" i="8"/>
  <c r="C51" i="8"/>
  <c r="B51" i="8"/>
  <c r="B56" i="8" s="1"/>
  <c r="AG50" i="8"/>
  <c r="AF50" i="8"/>
  <c r="AA50" i="8"/>
  <c r="E50" i="8"/>
  <c r="D50" i="8"/>
  <c r="C50" i="8"/>
  <c r="B50" i="8"/>
  <c r="AG49" i="8"/>
  <c r="AF49" i="8"/>
  <c r="AA49" i="8"/>
  <c r="AG48" i="8"/>
  <c r="AF48" i="8"/>
  <c r="AA48" i="8"/>
  <c r="AG47" i="8"/>
  <c r="AF47" i="8"/>
  <c r="AA47" i="8"/>
  <c r="AG46" i="8"/>
  <c r="AF46" i="8"/>
  <c r="AA46" i="8"/>
  <c r="AG45" i="8"/>
  <c r="AF45" i="8"/>
  <c r="AA45" i="8"/>
  <c r="H45" i="8"/>
  <c r="G45" i="8"/>
  <c r="F45" i="8"/>
  <c r="E45" i="8"/>
  <c r="D45" i="8"/>
  <c r="C45" i="8"/>
  <c r="B45" i="8"/>
  <c r="AG44" i="8"/>
  <c r="AF44" i="8"/>
  <c r="AA44" i="8"/>
  <c r="H44" i="8"/>
  <c r="G44" i="8"/>
  <c r="F44" i="8"/>
  <c r="E44" i="8"/>
  <c r="D44" i="8"/>
  <c r="C44" i="8"/>
  <c r="B44" i="8"/>
  <c r="AG43" i="8"/>
  <c r="AF43" i="8"/>
  <c r="AA43" i="8"/>
  <c r="H43" i="8"/>
  <c r="G43" i="8"/>
  <c r="F43" i="8"/>
  <c r="E43" i="8"/>
  <c r="D43" i="8"/>
  <c r="C43" i="8"/>
  <c r="B43" i="8"/>
  <c r="AG42" i="8"/>
  <c r="AF42" i="8"/>
  <c r="AA42" i="8"/>
  <c r="H42" i="8"/>
  <c r="G42" i="8"/>
  <c r="F42" i="8"/>
  <c r="E42" i="8"/>
  <c r="D42" i="8"/>
  <c r="C42" i="8"/>
  <c r="B42" i="8"/>
  <c r="AG41" i="8"/>
  <c r="AF41" i="8"/>
  <c r="AA41" i="8"/>
  <c r="H41" i="8"/>
  <c r="G41" i="8"/>
  <c r="F41" i="8"/>
  <c r="E41" i="8"/>
  <c r="D41" i="8"/>
  <c r="C41" i="8"/>
  <c r="B41" i="8"/>
  <c r="AG40" i="8"/>
  <c r="AF40" i="8"/>
  <c r="AA40" i="8"/>
  <c r="H40" i="8"/>
  <c r="G40" i="8"/>
  <c r="F40" i="8"/>
  <c r="E40" i="8"/>
  <c r="D40" i="8"/>
  <c r="C40" i="8"/>
  <c r="B40" i="8"/>
  <c r="AG39" i="8"/>
  <c r="AF39" i="8"/>
  <c r="AA39" i="8"/>
  <c r="AG38" i="8"/>
  <c r="AF38" i="8"/>
  <c r="AA38" i="8"/>
  <c r="AG37" i="8"/>
  <c r="AF37" i="8"/>
  <c r="AA37" i="8"/>
  <c r="C23" i="8" s="1"/>
  <c r="AG36" i="8"/>
  <c r="AF36" i="8"/>
  <c r="AA36" i="8"/>
  <c r="AG35" i="8"/>
  <c r="AF35" i="8"/>
  <c r="AA35" i="8"/>
  <c r="B35" i="8"/>
  <c r="AG34" i="8"/>
  <c r="AF34" i="8"/>
  <c r="AA34" i="8"/>
  <c r="B34" i="8"/>
  <c r="AG33" i="8"/>
  <c r="AF33" i="8"/>
  <c r="AA33" i="8"/>
  <c r="B33" i="8"/>
  <c r="AG32" i="8"/>
  <c r="AF32" i="8"/>
  <c r="AA32" i="8"/>
  <c r="B32" i="8"/>
  <c r="AG31" i="8"/>
  <c r="AF31" i="8"/>
  <c r="AA31" i="8"/>
  <c r="B31" i="8"/>
  <c r="AG30" i="8"/>
  <c r="AF30" i="8"/>
  <c r="AA30" i="8"/>
  <c r="B30" i="8"/>
  <c r="B36" i="8" s="1"/>
  <c r="M41" i="1" s="1"/>
  <c r="AG29" i="8"/>
  <c r="AF29" i="8"/>
  <c r="AA29" i="8"/>
  <c r="B29" i="8"/>
  <c r="AG28" i="8"/>
  <c r="AF28" i="8"/>
  <c r="AA28" i="8"/>
  <c r="AG27" i="8"/>
  <c r="AF27" i="8"/>
  <c r="AA27" i="8"/>
  <c r="AG26" i="8"/>
  <c r="AF26" i="8"/>
  <c r="AA26" i="8"/>
  <c r="AG25" i="8"/>
  <c r="AF25" i="8"/>
  <c r="AA25" i="8"/>
  <c r="AG24" i="8"/>
  <c r="AF24" i="8"/>
  <c r="AA24" i="8"/>
  <c r="D24" i="8"/>
  <c r="C24" i="8"/>
  <c r="B24" i="8"/>
  <c r="E24" i="8" s="1"/>
  <c r="AG23" i="8"/>
  <c r="AF23" i="8"/>
  <c r="AA23" i="8"/>
  <c r="D23" i="8"/>
  <c r="E23" i="8" s="1"/>
  <c r="G38" i="1" s="1"/>
  <c r="B23" i="8"/>
  <c r="AG22" i="8"/>
  <c r="AF22" i="8"/>
  <c r="AB22" i="8"/>
  <c r="AD22" i="8" s="1"/>
  <c r="AA22" i="8"/>
  <c r="C20" i="8" s="1"/>
  <c r="D22" i="8"/>
  <c r="B22" i="8"/>
  <c r="E22" i="8" s="1"/>
  <c r="AG21" i="8"/>
  <c r="AF21" i="8"/>
  <c r="AA21" i="8"/>
  <c r="D21" i="8"/>
  <c r="C21" i="8"/>
  <c r="B21" i="8"/>
  <c r="AG20" i="8"/>
  <c r="AF20" i="8"/>
  <c r="AA20" i="8"/>
  <c r="AB20" i="8" s="1"/>
  <c r="AD20" i="8" s="1"/>
  <c r="E20" i="8"/>
  <c r="D20" i="8"/>
  <c r="B20" i="8"/>
  <c r="AG19" i="8"/>
  <c r="AF19" i="8"/>
  <c r="AA19" i="8"/>
  <c r="D19" i="8"/>
  <c r="B19" i="8"/>
  <c r="AG18" i="8"/>
  <c r="AF18" i="8"/>
  <c r="AA18" i="8"/>
  <c r="AG17" i="8"/>
  <c r="AF17" i="8"/>
  <c r="AA17" i="8"/>
  <c r="AG16" i="8"/>
  <c r="AF16" i="8"/>
  <c r="AA16" i="8"/>
  <c r="AG15" i="8"/>
  <c r="AF15" i="8"/>
  <c r="AA15" i="8"/>
  <c r="AG14" i="8"/>
  <c r="AF14" i="8"/>
  <c r="AA14" i="8"/>
  <c r="AG13" i="8"/>
  <c r="AF13" i="8"/>
  <c r="AA13" i="8"/>
  <c r="B13" i="8"/>
  <c r="AG12" i="8"/>
  <c r="AF12" i="8"/>
  <c r="AA12" i="8"/>
  <c r="B12" i="8"/>
  <c r="AG11" i="8"/>
  <c r="AF11" i="8"/>
  <c r="AA11" i="8"/>
  <c r="B11" i="8"/>
  <c r="B101" i="8" s="1"/>
  <c r="AG10" i="8"/>
  <c r="AF10" i="8"/>
  <c r="AA10" i="8"/>
  <c r="C35" i="8" s="1"/>
  <c r="B10" i="8"/>
  <c r="AG9" i="8"/>
  <c r="AF9" i="8"/>
  <c r="AA9" i="8"/>
  <c r="B9" i="8"/>
  <c r="AG8" i="8"/>
  <c r="AF8" i="8"/>
  <c r="AA8" i="8"/>
  <c r="B8" i="8"/>
  <c r="AG7" i="8"/>
  <c r="AF7" i="8"/>
  <c r="AA7" i="8"/>
  <c r="B7" i="8"/>
  <c r="B102" i="8" s="1"/>
  <c r="AG6" i="8"/>
  <c r="AF6" i="8"/>
  <c r="AA6" i="8"/>
  <c r="AG5" i="8"/>
  <c r="AF5" i="8"/>
  <c r="AA5" i="8"/>
  <c r="AG4" i="8"/>
  <c r="AF4" i="8"/>
  <c r="AA4" i="8"/>
  <c r="AG3" i="8"/>
  <c r="B88" i="8" s="1"/>
  <c r="E34" i="2" s="1"/>
  <c r="AF3" i="8"/>
  <c r="AA3" i="8"/>
  <c r="AG2" i="8"/>
  <c r="AF2" i="8"/>
  <c r="AA2" i="8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V85" i="4"/>
  <c r="AB85" i="8" s="1"/>
  <c r="AD85" i="8" s="1"/>
  <c r="U85" i="4"/>
  <c r="W85" i="4" s="1"/>
  <c r="AC85" i="8" s="1"/>
  <c r="AE85" i="8" s="1"/>
  <c r="V84" i="4"/>
  <c r="AB84" i="8" s="1"/>
  <c r="AD84" i="8" s="1"/>
  <c r="U84" i="4"/>
  <c r="W84" i="4" s="1"/>
  <c r="AC84" i="8" s="1"/>
  <c r="AE84" i="8" s="1"/>
  <c r="V83" i="4"/>
  <c r="AB83" i="8" s="1"/>
  <c r="AD83" i="8" s="1"/>
  <c r="U83" i="4"/>
  <c r="W83" i="4" s="1"/>
  <c r="AC83" i="8" s="1"/>
  <c r="AE83" i="8" s="1"/>
  <c r="V82" i="4"/>
  <c r="AB82" i="8" s="1"/>
  <c r="AD82" i="8" s="1"/>
  <c r="U82" i="4"/>
  <c r="W82" i="4" s="1"/>
  <c r="AC82" i="8" s="1"/>
  <c r="AE82" i="8" s="1"/>
  <c r="V81" i="4"/>
  <c r="U81" i="4"/>
  <c r="W81" i="4" s="1"/>
  <c r="AC81" i="8" s="1"/>
  <c r="AE81" i="8" s="1"/>
  <c r="V80" i="4"/>
  <c r="AB80" i="8" s="1"/>
  <c r="AD80" i="8" s="1"/>
  <c r="U80" i="4"/>
  <c r="W80" i="4" s="1"/>
  <c r="AC80" i="8" s="1"/>
  <c r="AE80" i="8" s="1"/>
  <c r="V79" i="4"/>
  <c r="AB79" i="8" s="1"/>
  <c r="AD79" i="8" s="1"/>
  <c r="U79" i="4"/>
  <c r="W79" i="4" s="1"/>
  <c r="AC79" i="8" s="1"/>
  <c r="AE79" i="8" s="1"/>
  <c r="V78" i="4"/>
  <c r="U78" i="4"/>
  <c r="W78" i="4" s="1"/>
  <c r="AC78" i="8" s="1"/>
  <c r="V77" i="4"/>
  <c r="AB77" i="8" s="1"/>
  <c r="AD77" i="8" s="1"/>
  <c r="U77" i="4"/>
  <c r="W77" i="4" s="1"/>
  <c r="AC77" i="8" s="1"/>
  <c r="AE77" i="8" s="1"/>
  <c r="V76" i="4"/>
  <c r="U76" i="4"/>
  <c r="W76" i="4" s="1"/>
  <c r="AC76" i="8" s="1"/>
  <c r="AE76" i="8" s="1"/>
  <c r="V75" i="4"/>
  <c r="U75" i="4"/>
  <c r="W75" i="4" s="1"/>
  <c r="AC75" i="8" s="1"/>
  <c r="AE75" i="8" s="1"/>
  <c r="V74" i="4"/>
  <c r="AB74" i="8" s="1"/>
  <c r="AD74" i="8" s="1"/>
  <c r="U74" i="4"/>
  <c r="W74" i="4" s="1"/>
  <c r="AC74" i="8" s="1"/>
  <c r="AE74" i="8" s="1"/>
  <c r="V73" i="4"/>
  <c r="AB73" i="8" s="1"/>
  <c r="AD73" i="8" s="1"/>
  <c r="U73" i="4"/>
  <c r="W73" i="4" s="1"/>
  <c r="AC73" i="8" s="1"/>
  <c r="AE73" i="8" s="1"/>
  <c r="V72" i="4"/>
  <c r="U72" i="4"/>
  <c r="W72" i="4" s="1"/>
  <c r="AC72" i="8" s="1"/>
  <c r="AE72" i="8" s="1"/>
  <c r="V71" i="4"/>
  <c r="AB71" i="8" s="1"/>
  <c r="AD71" i="8" s="1"/>
  <c r="U71" i="4"/>
  <c r="W71" i="4" s="1"/>
  <c r="AC71" i="8" s="1"/>
  <c r="AE71" i="8" s="1"/>
  <c r="V70" i="4"/>
  <c r="AB70" i="8" s="1"/>
  <c r="AD70" i="8" s="1"/>
  <c r="U70" i="4"/>
  <c r="W70" i="4" s="1"/>
  <c r="AC70" i="8" s="1"/>
  <c r="AE70" i="8" s="1"/>
  <c r="V69" i="4"/>
  <c r="U69" i="4"/>
  <c r="W69" i="4" s="1"/>
  <c r="AC69" i="8" s="1"/>
  <c r="AE69" i="8" s="1"/>
  <c r="V68" i="4"/>
  <c r="AB68" i="8" s="1"/>
  <c r="AD68" i="8" s="1"/>
  <c r="U68" i="4"/>
  <c r="W68" i="4" s="1"/>
  <c r="AC68" i="8" s="1"/>
  <c r="AE68" i="8" s="1"/>
  <c r="V67" i="4"/>
  <c r="U67" i="4"/>
  <c r="W67" i="4" s="1"/>
  <c r="AC67" i="8" s="1"/>
  <c r="AE67" i="8" s="1"/>
  <c r="V66" i="4"/>
  <c r="U66" i="4"/>
  <c r="W66" i="4" s="1"/>
  <c r="AC66" i="8" s="1"/>
  <c r="AE66" i="8" s="1"/>
  <c r="V65" i="4"/>
  <c r="AB65" i="8" s="1"/>
  <c r="AD65" i="8" s="1"/>
  <c r="U65" i="4"/>
  <c r="W65" i="4" s="1"/>
  <c r="AC65" i="8" s="1"/>
  <c r="AE65" i="8" s="1"/>
  <c r="W64" i="4"/>
  <c r="AC64" i="8" s="1"/>
  <c r="V64" i="4"/>
  <c r="U64" i="4"/>
  <c r="V63" i="4"/>
  <c r="AB63" i="8" s="1"/>
  <c r="AD63" i="8" s="1"/>
  <c r="U63" i="4"/>
  <c r="W63" i="4" s="1"/>
  <c r="AC63" i="8" s="1"/>
  <c r="AE63" i="8" s="1"/>
  <c r="V62" i="4"/>
  <c r="AB62" i="8" s="1"/>
  <c r="AD62" i="8" s="1"/>
  <c r="U62" i="4"/>
  <c r="W62" i="4" s="1"/>
  <c r="AC62" i="8" s="1"/>
  <c r="AE62" i="8" s="1"/>
  <c r="V61" i="4"/>
  <c r="U61" i="4"/>
  <c r="W61" i="4" s="1"/>
  <c r="AC61" i="8" s="1"/>
  <c r="AE61" i="8" s="1"/>
  <c r="V60" i="4"/>
  <c r="AB60" i="8" s="1"/>
  <c r="AD60" i="8" s="1"/>
  <c r="U60" i="4"/>
  <c r="W60" i="4" s="1"/>
  <c r="AC60" i="8" s="1"/>
  <c r="AE60" i="8" s="1"/>
  <c r="V59" i="4"/>
  <c r="AB59" i="8" s="1"/>
  <c r="AD59" i="8" s="1"/>
  <c r="U59" i="4"/>
  <c r="W59" i="4" s="1"/>
  <c r="AC59" i="8" s="1"/>
  <c r="AE59" i="8" s="1"/>
  <c r="V58" i="4"/>
  <c r="AB58" i="8" s="1"/>
  <c r="AD58" i="8" s="1"/>
  <c r="U58" i="4"/>
  <c r="W58" i="4" s="1"/>
  <c r="AC58" i="8" s="1"/>
  <c r="AE58" i="8" s="1"/>
  <c r="V57" i="4"/>
  <c r="AB57" i="8" s="1"/>
  <c r="AD57" i="8" s="1"/>
  <c r="U57" i="4"/>
  <c r="W57" i="4" s="1"/>
  <c r="AC57" i="8" s="1"/>
  <c r="AE57" i="8" s="1"/>
  <c r="V56" i="4"/>
  <c r="AB56" i="8" s="1"/>
  <c r="AD56" i="8" s="1"/>
  <c r="U56" i="4"/>
  <c r="W56" i="4" s="1"/>
  <c r="AC56" i="8" s="1"/>
  <c r="AE56" i="8" s="1"/>
  <c r="V55" i="4"/>
  <c r="U55" i="4"/>
  <c r="W55" i="4" s="1"/>
  <c r="AC55" i="8" s="1"/>
  <c r="AE55" i="8" s="1"/>
  <c r="V54" i="4"/>
  <c r="AB54" i="8" s="1"/>
  <c r="AD54" i="8" s="1"/>
  <c r="U54" i="4"/>
  <c r="W54" i="4" s="1"/>
  <c r="AC54" i="8" s="1"/>
  <c r="AE54" i="8" s="1"/>
  <c r="V53" i="4"/>
  <c r="AB53" i="8" s="1"/>
  <c r="AD53" i="8" s="1"/>
  <c r="U53" i="4"/>
  <c r="W53" i="4" s="1"/>
  <c r="AC53" i="8" s="1"/>
  <c r="AE53" i="8" s="1"/>
  <c r="V52" i="4"/>
  <c r="U52" i="4"/>
  <c r="W52" i="4" s="1"/>
  <c r="AC52" i="8" s="1"/>
  <c r="AE52" i="8" s="1"/>
  <c r="V51" i="4"/>
  <c r="AB51" i="8" s="1"/>
  <c r="AD51" i="8" s="1"/>
  <c r="U51" i="4"/>
  <c r="W51" i="4" s="1"/>
  <c r="AC51" i="8" s="1"/>
  <c r="AE51" i="8" s="1"/>
  <c r="V50" i="4"/>
  <c r="AB50" i="8" s="1"/>
  <c r="AD50" i="8" s="1"/>
  <c r="U50" i="4"/>
  <c r="W50" i="4" s="1"/>
  <c r="AC50" i="8" s="1"/>
  <c r="AE50" i="8" s="1"/>
  <c r="V49" i="4"/>
  <c r="U49" i="4"/>
  <c r="W49" i="4" s="1"/>
  <c r="AC49" i="8" s="1"/>
  <c r="AE49" i="8" s="1"/>
  <c r="V48" i="4"/>
  <c r="AB48" i="8" s="1"/>
  <c r="AD48" i="8" s="1"/>
  <c r="U48" i="4"/>
  <c r="W48" i="4" s="1"/>
  <c r="AC48" i="8" s="1"/>
  <c r="AE48" i="8" s="1"/>
  <c r="V47" i="4"/>
  <c r="U47" i="4"/>
  <c r="W47" i="4" s="1"/>
  <c r="AC47" i="8" s="1"/>
  <c r="AE47" i="8" s="1"/>
  <c r="V46" i="4"/>
  <c r="U46" i="4"/>
  <c r="W46" i="4" s="1"/>
  <c r="AC46" i="8" s="1"/>
  <c r="V45" i="4"/>
  <c r="AB45" i="8" s="1"/>
  <c r="AD45" i="8" s="1"/>
  <c r="U45" i="4"/>
  <c r="W45" i="4" s="1"/>
  <c r="AC45" i="8" s="1"/>
  <c r="AE45" i="8" s="1"/>
  <c r="V44" i="4"/>
  <c r="U44" i="4"/>
  <c r="W44" i="4" s="1"/>
  <c r="AC44" i="8" s="1"/>
  <c r="AE44" i="8" s="1"/>
  <c r="V43" i="4"/>
  <c r="AB43" i="8" s="1"/>
  <c r="AD43" i="8" s="1"/>
  <c r="U43" i="4"/>
  <c r="W43" i="4" s="1"/>
  <c r="AC43" i="8" s="1"/>
  <c r="AE43" i="8" s="1"/>
  <c r="V42" i="4"/>
  <c r="AB42" i="8" s="1"/>
  <c r="AD42" i="8" s="1"/>
  <c r="U42" i="4"/>
  <c r="W42" i="4" s="1"/>
  <c r="AC42" i="8" s="1"/>
  <c r="AE42" i="8" s="1"/>
  <c r="V41" i="4"/>
  <c r="U41" i="4"/>
  <c r="W41" i="4" s="1"/>
  <c r="AC41" i="8" s="1"/>
  <c r="AE41" i="8" s="1"/>
  <c r="V40" i="4"/>
  <c r="U40" i="4"/>
  <c r="W40" i="4" s="1"/>
  <c r="AC40" i="8" s="1"/>
  <c r="AE40" i="8" s="1"/>
  <c r="V39" i="4"/>
  <c r="AB39" i="8" s="1"/>
  <c r="AD39" i="8" s="1"/>
  <c r="U39" i="4"/>
  <c r="W39" i="4" s="1"/>
  <c r="AC39" i="8" s="1"/>
  <c r="AE39" i="8" s="1"/>
  <c r="V38" i="4"/>
  <c r="U38" i="4"/>
  <c r="W38" i="4" s="1"/>
  <c r="AC38" i="8" s="1"/>
  <c r="AE38" i="8" s="1"/>
  <c r="V37" i="4"/>
  <c r="U37" i="4"/>
  <c r="W37" i="4" s="1"/>
  <c r="AC37" i="8" s="1"/>
  <c r="AE37" i="8" s="1"/>
  <c r="V36" i="4"/>
  <c r="AB36" i="8" s="1"/>
  <c r="U36" i="4"/>
  <c r="W36" i="4" s="1"/>
  <c r="AC36" i="8" s="1"/>
  <c r="V35" i="4"/>
  <c r="AB35" i="8" s="1"/>
  <c r="AD35" i="8" s="1"/>
  <c r="U35" i="4"/>
  <c r="W35" i="4" s="1"/>
  <c r="AC35" i="8" s="1"/>
  <c r="AE35" i="8" s="1"/>
  <c r="V34" i="4"/>
  <c r="AB34" i="8" s="1"/>
  <c r="AD34" i="8" s="1"/>
  <c r="U34" i="4"/>
  <c r="W34" i="4" s="1"/>
  <c r="AC34" i="8" s="1"/>
  <c r="AE34" i="8" s="1"/>
  <c r="W33" i="4"/>
  <c r="AC33" i="8" s="1"/>
  <c r="AE33" i="8" s="1"/>
  <c r="V33" i="4"/>
  <c r="AB33" i="8" s="1"/>
  <c r="AD33" i="8" s="1"/>
  <c r="U33" i="4"/>
  <c r="V32" i="4"/>
  <c r="AB32" i="8" s="1"/>
  <c r="AD32" i="8" s="1"/>
  <c r="U32" i="4"/>
  <c r="W32" i="4" s="1"/>
  <c r="AC32" i="8" s="1"/>
  <c r="AE32" i="8" s="1"/>
  <c r="V31" i="4"/>
  <c r="AB31" i="8" s="1"/>
  <c r="AD31" i="8" s="1"/>
  <c r="U31" i="4"/>
  <c r="W31" i="4" s="1"/>
  <c r="AC31" i="8" s="1"/>
  <c r="AE31" i="8" s="1"/>
  <c r="V30" i="4"/>
  <c r="AB30" i="8" s="1"/>
  <c r="AD30" i="8" s="1"/>
  <c r="U30" i="4"/>
  <c r="W30" i="4" s="1"/>
  <c r="AC30" i="8" s="1"/>
  <c r="AE30" i="8" s="1"/>
  <c r="V29" i="4"/>
  <c r="AB29" i="8" s="1"/>
  <c r="AD29" i="8" s="1"/>
  <c r="U29" i="4"/>
  <c r="W29" i="4" s="1"/>
  <c r="AC29" i="8" s="1"/>
  <c r="AE29" i="8" s="1"/>
  <c r="V28" i="4"/>
  <c r="AB28" i="8" s="1"/>
  <c r="AD28" i="8" s="1"/>
  <c r="U28" i="4"/>
  <c r="W28" i="4" s="1"/>
  <c r="AC28" i="8" s="1"/>
  <c r="AE28" i="8" s="1"/>
  <c r="V27" i="4"/>
  <c r="U27" i="4"/>
  <c r="W27" i="4" s="1"/>
  <c r="AC27" i="8" s="1"/>
  <c r="AE27" i="8" s="1"/>
  <c r="V26" i="4"/>
  <c r="U26" i="4"/>
  <c r="W26" i="4" s="1"/>
  <c r="AC26" i="8" s="1"/>
  <c r="AE26" i="8" s="1"/>
  <c r="V25" i="4"/>
  <c r="AB25" i="8" s="1"/>
  <c r="AD25" i="8" s="1"/>
  <c r="U25" i="4"/>
  <c r="W25" i="4" s="1"/>
  <c r="AC25" i="8" s="1"/>
  <c r="AE25" i="8" s="1"/>
  <c r="V24" i="4"/>
  <c r="U24" i="4"/>
  <c r="W24" i="4" s="1"/>
  <c r="AC24" i="8" s="1"/>
  <c r="AE24" i="8" s="1"/>
  <c r="V23" i="4"/>
  <c r="AB23" i="8" s="1"/>
  <c r="AD23" i="8" s="1"/>
  <c r="U23" i="4"/>
  <c r="W23" i="4" s="1"/>
  <c r="AC23" i="8" s="1"/>
  <c r="AE23" i="8" s="1"/>
  <c r="V22" i="4"/>
  <c r="U22" i="4"/>
  <c r="W22" i="4" s="1"/>
  <c r="AC22" i="8" s="1"/>
  <c r="V21" i="4"/>
  <c r="U21" i="4"/>
  <c r="W21" i="4" s="1"/>
  <c r="AC21" i="8" s="1"/>
  <c r="AE21" i="8" s="1"/>
  <c r="V20" i="4"/>
  <c r="U20" i="4"/>
  <c r="W20" i="4" s="1"/>
  <c r="AC20" i="8" s="1"/>
  <c r="AE20" i="8" s="1"/>
  <c r="V19" i="4"/>
  <c r="AB19" i="8" s="1"/>
  <c r="AD19" i="8" s="1"/>
  <c r="U19" i="4"/>
  <c r="W19" i="4" s="1"/>
  <c r="AC19" i="8" s="1"/>
  <c r="AE19" i="8" s="1"/>
  <c r="V18" i="4"/>
  <c r="AB18" i="8" s="1"/>
  <c r="AD18" i="8" s="1"/>
  <c r="U18" i="4"/>
  <c r="W18" i="4" s="1"/>
  <c r="AC18" i="8" s="1"/>
  <c r="AE18" i="8" s="1"/>
  <c r="V17" i="4"/>
  <c r="AB17" i="8" s="1"/>
  <c r="AD17" i="8" s="1"/>
  <c r="U17" i="4"/>
  <c r="W17" i="4" s="1"/>
  <c r="AC17" i="8" s="1"/>
  <c r="AE17" i="8" s="1"/>
  <c r="V16" i="4"/>
  <c r="AB16" i="8" s="1"/>
  <c r="AD16" i="8" s="1"/>
  <c r="U16" i="4"/>
  <c r="W16" i="4" s="1"/>
  <c r="AC16" i="8" s="1"/>
  <c r="AE16" i="8" s="1"/>
  <c r="V15" i="4"/>
  <c r="AB15" i="8" s="1"/>
  <c r="AD15" i="8" s="1"/>
  <c r="U15" i="4"/>
  <c r="W15" i="4" s="1"/>
  <c r="AC15" i="8" s="1"/>
  <c r="AE15" i="8" s="1"/>
  <c r="V14" i="4"/>
  <c r="AB14" i="8" s="1"/>
  <c r="U14" i="4"/>
  <c r="W14" i="4" s="1"/>
  <c r="AC14" i="8" s="1"/>
  <c r="V13" i="4"/>
  <c r="AB13" i="8" s="1"/>
  <c r="AD13" i="8" s="1"/>
  <c r="U13" i="4"/>
  <c r="W13" i="4" s="1"/>
  <c r="AC13" i="8" s="1"/>
  <c r="AE13" i="8" s="1"/>
  <c r="V12" i="4"/>
  <c r="U12" i="4"/>
  <c r="W12" i="4" s="1"/>
  <c r="AC12" i="8" s="1"/>
  <c r="AE12" i="8" s="1"/>
  <c r="V11" i="4"/>
  <c r="AB11" i="8" s="1"/>
  <c r="AD11" i="8" s="1"/>
  <c r="U11" i="4"/>
  <c r="W11" i="4" s="1"/>
  <c r="AC11" i="8" s="1"/>
  <c r="AE11" i="8" s="1"/>
  <c r="V10" i="4"/>
  <c r="U10" i="4"/>
  <c r="W10" i="4" s="1"/>
  <c r="AC10" i="8" s="1"/>
  <c r="V9" i="4"/>
  <c r="U9" i="4"/>
  <c r="W9" i="4" s="1"/>
  <c r="AC9" i="8" s="1"/>
  <c r="AE9" i="8" s="1"/>
  <c r="V8" i="4"/>
  <c r="AB8" i="8" s="1"/>
  <c r="U8" i="4"/>
  <c r="W8" i="4" s="1"/>
  <c r="AC8" i="8" s="1"/>
  <c r="V7" i="4"/>
  <c r="AB7" i="8" s="1"/>
  <c r="AD7" i="8" s="1"/>
  <c r="U7" i="4"/>
  <c r="W7" i="4" s="1"/>
  <c r="AC7" i="8" s="1"/>
  <c r="AE7" i="8" s="1"/>
  <c r="V6" i="4"/>
  <c r="U6" i="4"/>
  <c r="W6" i="4" s="1"/>
  <c r="AC6" i="8" s="1"/>
  <c r="V5" i="4"/>
  <c r="U5" i="4"/>
  <c r="W5" i="4" s="1"/>
  <c r="AC5" i="8" s="1"/>
  <c r="V4" i="4"/>
  <c r="AB4" i="8" s="1"/>
  <c r="U4" i="4"/>
  <c r="W4" i="4" s="1"/>
  <c r="AC4" i="8" s="1"/>
  <c r="AE4" i="8" s="1"/>
  <c r="V3" i="4"/>
  <c r="AB3" i="8" s="1"/>
  <c r="U3" i="4"/>
  <c r="W3" i="4" s="1"/>
  <c r="AC3" i="8" s="1"/>
  <c r="V2" i="4"/>
  <c r="AB2" i="8" s="1"/>
  <c r="U2" i="4"/>
  <c r="W2" i="4" s="1"/>
  <c r="AC2" i="8" s="1"/>
  <c r="B65" i="2"/>
  <c r="J61" i="2"/>
  <c r="E61" i="2"/>
  <c r="D61" i="2"/>
  <c r="J60" i="2"/>
  <c r="E60" i="2"/>
  <c r="D60" i="2"/>
  <c r="J59" i="2"/>
  <c r="E59" i="2"/>
  <c r="D59" i="2"/>
  <c r="J58" i="2"/>
  <c r="E58" i="2"/>
  <c r="D58" i="2"/>
  <c r="J57" i="2"/>
  <c r="E57" i="2"/>
  <c r="D57" i="2"/>
  <c r="J56" i="2"/>
  <c r="E56" i="2"/>
  <c r="D56" i="2"/>
  <c r="J55" i="2"/>
  <c r="E55" i="2"/>
  <c r="D55" i="2"/>
  <c r="J54" i="2"/>
  <c r="E54" i="2"/>
  <c r="D54" i="2"/>
  <c r="J53" i="2"/>
  <c r="E53" i="2"/>
  <c r="D53" i="2"/>
  <c r="J52" i="2"/>
  <c r="E52" i="2"/>
  <c r="D52" i="2"/>
  <c r="J51" i="2"/>
  <c r="E51" i="2"/>
  <c r="D51" i="2"/>
  <c r="J50" i="2"/>
  <c r="E50" i="2"/>
  <c r="D50" i="2"/>
  <c r="J49" i="2"/>
  <c r="E49" i="2"/>
  <c r="D49" i="2"/>
  <c r="J48" i="2"/>
  <c r="E48" i="2"/>
  <c r="D48" i="2"/>
  <c r="J47" i="2"/>
  <c r="E47" i="2"/>
  <c r="D47" i="2"/>
  <c r="J46" i="2"/>
  <c r="E46" i="2"/>
  <c r="D46" i="2"/>
  <c r="J45" i="2"/>
  <c r="E45" i="2"/>
  <c r="D45" i="2"/>
  <c r="J44" i="2"/>
  <c r="E44" i="2"/>
  <c r="D44" i="2"/>
  <c r="E39" i="2"/>
  <c r="E38" i="2"/>
  <c r="E37" i="2"/>
  <c r="E36" i="2"/>
  <c r="E35" i="2"/>
  <c r="E33" i="2"/>
  <c r="E32" i="2"/>
  <c r="E31" i="2"/>
  <c r="E30" i="2"/>
  <c r="E29" i="2"/>
  <c r="E28" i="2"/>
  <c r="E27" i="2"/>
  <c r="E26" i="2"/>
  <c r="E25" i="2"/>
  <c r="E24" i="2"/>
  <c r="E23" i="2"/>
  <c r="E19" i="2"/>
  <c r="E17" i="2"/>
  <c r="E16" i="2"/>
  <c r="E15" i="2"/>
  <c r="E14" i="2"/>
  <c r="E12" i="2"/>
  <c r="B8" i="2"/>
  <c r="B7" i="2"/>
  <c r="B5" i="2"/>
  <c r="B2" i="2"/>
  <c r="B85" i="1"/>
  <c r="H84" i="1"/>
  <c r="B84" i="1"/>
  <c r="J83" i="1"/>
  <c r="H83" i="1"/>
  <c r="B83" i="1"/>
  <c r="J82" i="1"/>
  <c r="H82" i="1"/>
  <c r="B82" i="1"/>
  <c r="J81" i="1"/>
  <c r="H81" i="1"/>
  <c r="B81" i="1"/>
  <c r="J80" i="1"/>
  <c r="H80" i="1"/>
  <c r="B80" i="1"/>
  <c r="J79" i="1"/>
  <c r="H79" i="1"/>
  <c r="B79" i="1"/>
  <c r="J78" i="1"/>
  <c r="H78" i="1"/>
  <c r="B78" i="1"/>
  <c r="J77" i="1"/>
  <c r="H77" i="1"/>
  <c r="B77" i="1"/>
  <c r="J76" i="1"/>
  <c r="H76" i="1"/>
  <c r="B76" i="1"/>
  <c r="K41" i="1"/>
  <c r="N40" i="1"/>
  <c r="M40" i="1"/>
  <c r="K40" i="1"/>
  <c r="B40" i="1"/>
  <c r="M39" i="1"/>
  <c r="K39" i="1"/>
  <c r="G39" i="1"/>
  <c r="F39" i="1"/>
  <c r="E39" i="1"/>
  <c r="D39" i="1"/>
  <c r="B39" i="1"/>
  <c r="M38" i="1"/>
  <c r="K38" i="1"/>
  <c r="F38" i="1"/>
  <c r="E38" i="1"/>
  <c r="D38" i="1"/>
  <c r="B38" i="1"/>
  <c r="M37" i="1"/>
  <c r="K37" i="1"/>
  <c r="G37" i="1"/>
  <c r="F37" i="1"/>
  <c r="D37" i="1"/>
  <c r="B37" i="1"/>
  <c r="M36" i="1"/>
  <c r="K36" i="1"/>
  <c r="F36" i="1"/>
  <c r="E36" i="1"/>
  <c r="D36" i="1"/>
  <c r="B36" i="1"/>
  <c r="M35" i="1"/>
  <c r="K35" i="1"/>
  <c r="G35" i="1"/>
  <c r="F35" i="1"/>
  <c r="E35" i="1"/>
  <c r="D35" i="1"/>
  <c r="B35" i="1"/>
  <c r="M34" i="1"/>
  <c r="K34" i="1"/>
  <c r="B34" i="1"/>
  <c r="L7" i="1"/>
  <c r="B7" i="1"/>
  <c r="N5" i="1"/>
  <c r="H5" i="1"/>
  <c r="F5" i="1"/>
  <c r="AB24" i="8" l="1"/>
  <c r="AD24" i="8" s="1"/>
  <c r="AB9" i="8"/>
  <c r="AB49" i="8"/>
  <c r="AD49" i="8" s="1"/>
  <c r="AB27" i="8"/>
  <c r="F35" i="8"/>
  <c r="Q40" i="1" s="1"/>
  <c r="AE10" i="8"/>
  <c r="AD36" i="8"/>
  <c r="AD9" i="8"/>
  <c r="AB41" i="8"/>
  <c r="AD41" i="8" s="1"/>
  <c r="F34" i="8"/>
  <c r="Q39" i="1" s="1"/>
  <c r="AE5" i="8"/>
  <c r="H23" i="8"/>
  <c r="J38" i="1" s="1"/>
  <c r="AE36" i="8"/>
  <c r="H20" i="8"/>
  <c r="J35" i="1" s="1"/>
  <c r="AB12" i="8"/>
  <c r="AD12" i="8" s="1"/>
  <c r="F29" i="8"/>
  <c r="AE6" i="8"/>
  <c r="F31" i="8"/>
  <c r="Q36" i="1" s="1"/>
  <c r="B104" i="8"/>
  <c r="H19" i="8"/>
  <c r="AE2" i="8"/>
  <c r="AE64" i="8"/>
  <c r="H22" i="8"/>
  <c r="J37" i="1" s="1"/>
  <c r="F34" i="1"/>
  <c r="D25" i="8"/>
  <c r="F40" i="1" s="1"/>
  <c r="AD3" i="8"/>
  <c r="F33" i="8"/>
  <c r="Q38" i="1" s="1"/>
  <c r="AE8" i="8"/>
  <c r="F32" i="8"/>
  <c r="Q37" i="1" s="1"/>
  <c r="AE3" i="8"/>
  <c r="AD8" i="8"/>
  <c r="AD14" i="8"/>
  <c r="C19" i="8"/>
  <c r="AD2" i="8"/>
  <c r="AD27" i="8"/>
  <c r="E13" i="8"/>
  <c r="AE46" i="8"/>
  <c r="H21" i="8"/>
  <c r="J36" i="1" s="1"/>
  <c r="C29" i="8"/>
  <c r="AB6" i="8"/>
  <c r="E19" i="8"/>
  <c r="B25" i="8"/>
  <c r="AB76" i="8"/>
  <c r="AD76" i="8" s="1"/>
  <c r="AB72" i="8"/>
  <c r="AD72" i="8" s="1"/>
  <c r="F20" i="8"/>
  <c r="H35" i="1" s="1"/>
  <c r="AE22" i="8"/>
  <c r="AB47" i="8"/>
  <c r="AD47" i="8" s="1"/>
  <c r="AB61" i="8"/>
  <c r="AD61" i="8" s="1"/>
  <c r="AB21" i="8"/>
  <c r="AD21" i="8" s="1"/>
  <c r="B93" i="8"/>
  <c r="AD4" i="8"/>
  <c r="B14" i="8"/>
  <c r="AB40" i="8"/>
  <c r="AD40" i="8" s="1"/>
  <c r="AB52" i="8"/>
  <c r="AD52" i="8" s="1"/>
  <c r="AB44" i="8"/>
  <c r="AD44" i="8" s="1"/>
  <c r="AB66" i="8"/>
  <c r="AD66" i="8" s="1"/>
  <c r="H24" i="8"/>
  <c r="J39" i="1" s="1"/>
  <c r="AE78" i="8"/>
  <c r="D34" i="1"/>
  <c r="F30" i="8"/>
  <c r="Q35" i="1" s="1"/>
  <c r="C32" i="8"/>
  <c r="C33" i="8"/>
  <c r="C56" i="8"/>
  <c r="AB55" i="8"/>
  <c r="AD55" i="8" s="1"/>
  <c r="AB69" i="8"/>
  <c r="AD69" i="8" s="1"/>
  <c r="C34" i="8"/>
  <c r="C30" i="8"/>
  <c r="AB37" i="8"/>
  <c r="AD37" i="8" s="1"/>
  <c r="AB64" i="8"/>
  <c r="C22" i="8"/>
  <c r="AB75" i="8"/>
  <c r="AD75" i="8" s="1"/>
  <c r="AB5" i="8"/>
  <c r="E56" i="8"/>
  <c r="AE14" i="8"/>
  <c r="E21" i="8"/>
  <c r="G36" i="1" s="1"/>
  <c r="AB46" i="8"/>
  <c r="AB67" i="8"/>
  <c r="AD67" i="8" s="1"/>
  <c r="AB81" i="8"/>
  <c r="AD81" i="8" s="1"/>
  <c r="AB78" i="8"/>
  <c r="AB10" i="8"/>
  <c r="AB26" i="8"/>
  <c r="AD26" i="8" s="1"/>
  <c r="AB38" i="8"/>
  <c r="AD38" i="8" s="1"/>
  <c r="B100" i="8"/>
  <c r="C31" i="8"/>
  <c r="F19" i="2" l="1"/>
  <c r="G19" i="2" s="1"/>
  <c r="F7" i="1"/>
  <c r="D5" i="1"/>
  <c r="E12" i="8"/>
  <c r="C36" i="8"/>
  <c r="N34" i="1"/>
  <c r="B106" i="8"/>
  <c r="H85" i="1"/>
  <c r="N36" i="1"/>
  <c r="D34" i="8"/>
  <c r="O39" i="1" s="1"/>
  <c r="AD5" i="8"/>
  <c r="E11" i="8"/>
  <c r="D29" i="8"/>
  <c r="E29" i="8" s="1"/>
  <c r="P34" i="1" s="1"/>
  <c r="AD6" i="8"/>
  <c r="E9" i="8"/>
  <c r="E37" i="1"/>
  <c r="F22" i="8"/>
  <c r="H37" i="1" s="1"/>
  <c r="AD64" i="8"/>
  <c r="D33" i="8"/>
  <c r="O38" i="1" s="1"/>
  <c r="D30" i="8"/>
  <c r="O35" i="1" s="1"/>
  <c r="D35" i="8"/>
  <c r="AD10" i="8"/>
  <c r="F77" i="8"/>
  <c r="F76" i="8"/>
  <c r="F74" i="8"/>
  <c r="F73" i="8"/>
  <c r="F71" i="8"/>
  <c r="F70" i="8"/>
  <c r="F79" i="8"/>
  <c r="F78" i="8"/>
  <c r="F75" i="8"/>
  <c r="F72" i="8"/>
  <c r="AD78" i="8"/>
  <c r="F24" i="8"/>
  <c r="H25" i="8"/>
  <c r="J40" i="1" s="1"/>
  <c r="J34" i="1"/>
  <c r="J61" i="1"/>
  <c r="L5" i="1"/>
  <c r="E10" i="8"/>
  <c r="AD46" i="8"/>
  <c r="F21" i="8"/>
  <c r="G20" i="8"/>
  <c r="I35" i="1" s="1"/>
  <c r="B103" i="8"/>
  <c r="E8" i="8"/>
  <c r="E7" i="8"/>
  <c r="E25" i="8"/>
  <c r="G40" i="1" s="1"/>
  <c r="D40" i="1"/>
  <c r="F23" i="8"/>
  <c r="N35" i="1"/>
  <c r="N39" i="1"/>
  <c r="C90" i="8"/>
  <c r="I82" i="1" s="1"/>
  <c r="C86" i="8"/>
  <c r="I78" i="1" s="1"/>
  <c r="C12" i="8"/>
  <c r="B99" i="8"/>
  <c r="C13" i="8"/>
  <c r="C7" i="8"/>
  <c r="C14" i="8" s="1"/>
  <c r="C91" i="8"/>
  <c r="I83" i="1" s="1"/>
  <c r="C87" i="8"/>
  <c r="I79" i="1" s="1"/>
  <c r="C92" i="8"/>
  <c r="I84" i="1" s="1"/>
  <c r="C88" i="8"/>
  <c r="I80" i="1" s="1"/>
  <c r="C84" i="8"/>
  <c r="I76" i="1" s="1"/>
  <c r="C10" i="8"/>
  <c r="C93" i="8"/>
  <c r="I85" i="1" s="1"/>
  <c r="C89" i="8"/>
  <c r="I81" i="1" s="1"/>
  <c r="C85" i="8"/>
  <c r="I77" i="1" s="1"/>
  <c r="C11" i="8"/>
  <c r="C8" i="8"/>
  <c r="C9" i="8"/>
  <c r="D31" i="8"/>
  <c r="O36" i="1" s="1"/>
  <c r="F36" i="8"/>
  <c r="Q41" i="1" s="1"/>
  <c r="Q34" i="1"/>
  <c r="E33" i="8"/>
  <c r="P38" i="1" s="1"/>
  <c r="N38" i="1"/>
  <c r="G34" i="1"/>
  <c r="F19" i="8"/>
  <c r="D32" i="8"/>
  <c r="O37" i="1" s="1"/>
  <c r="N37" i="1"/>
  <c r="C25" i="8"/>
  <c r="E34" i="1"/>
  <c r="B79" i="8" l="1"/>
  <c r="B74" i="8"/>
  <c r="B76" i="8"/>
  <c r="B77" i="8"/>
  <c r="B13" i="1"/>
  <c r="E30" i="8"/>
  <c r="P35" i="1" s="1"/>
  <c r="E32" i="8"/>
  <c r="P37" i="1" s="1"/>
  <c r="B73" i="8"/>
  <c r="C73" i="8" s="1"/>
  <c r="E34" i="8"/>
  <c r="P39" i="1" s="1"/>
  <c r="D73" i="8"/>
  <c r="I66" i="1" s="1"/>
  <c r="H79" i="8"/>
  <c r="Q72" i="1" s="1"/>
  <c r="G79" i="8"/>
  <c r="D74" i="8"/>
  <c r="I67" i="1" s="1"/>
  <c r="C74" i="8"/>
  <c r="C76" i="8"/>
  <c r="D76" i="8"/>
  <c r="I69" i="1" s="1"/>
  <c r="J5" i="1"/>
  <c r="B61" i="1"/>
  <c r="J7" i="1"/>
  <c r="F38" i="2"/>
  <c r="F32" i="2"/>
  <c r="F26" i="2"/>
  <c r="F18" i="2"/>
  <c r="F14" i="2"/>
  <c r="G14" i="2" s="1"/>
  <c r="B2" i="1"/>
  <c r="F35" i="2"/>
  <c r="F29" i="2"/>
  <c r="F16" i="2"/>
  <c r="G16" i="2" s="1"/>
  <c r="F12" i="2"/>
  <c r="G12" i="2" s="1"/>
  <c r="F34" i="2"/>
  <c r="F28" i="2"/>
  <c r="F23" i="2"/>
  <c r="F24" i="2"/>
  <c r="F31" i="2"/>
  <c r="F39" i="2"/>
  <c r="F13" i="2"/>
  <c r="G13" i="2" s="1"/>
  <c r="F30" i="2"/>
  <c r="E13" i="2"/>
  <c r="B5" i="1"/>
  <c r="F37" i="2"/>
  <c r="E18" i="2"/>
  <c r="N7" i="1"/>
  <c r="F36" i="2"/>
  <c r="F27" i="2"/>
  <c r="F17" i="2"/>
  <c r="G17" i="2" s="1"/>
  <c r="F33" i="2"/>
  <c r="F25" i="2"/>
  <c r="F15" i="2"/>
  <c r="G15" i="2" s="1"/>
  <c r="H7" i="1"/>
  <c r="G70" i="8"/>
  <c r="H70" i="8"/>
  <c r="Q63" i="1" s="1"/>
  <c r="H71" i="8"/>
  <c r="Q64" i="1" s="1"/>
  <c r="G71" i="8"/>
  <c r="G22" i="8"/>
  <c r="I37" i="1" s="1"/>
  <c r="P7" i="1"/>
  <c r="P5" i="1"/>
  <c r="G73" i="8"/>
  <c r="H73" i="8"/>
  <c r="Q66" i="1" s="1"/>
  <c r="H74" i="8"/>
  <c r="Q67" i="1" s="1"/>
  <c r="G74" i="8"/>
  <c r="G76" i="8"/>
  <c r="H76" i="8"/>
  <c r="Q69" i="1" s="1"/>
  <c r="N41" i="1"/>
  <c r="H77" i="8"/>
  <c r="Q70" i="1" s="1"/>
  <c r="G77" i="8"/>
  <c r="C79" i="8"/>
  <c r="D79" i="8"/>
  <c r="I72" i="1" s="1"/>
  <c r="F25" i="8"/>
  <c r="H40" i="1" s="1"/>
  <c r="H34" i="1"/>
  <c r="H38" i="1"/>
  <c r="G23" i="8"/>
  <c r="I38" i="1" s="1"/>
  <c r="D36" i="8"/>
  <c r="O41" i="1" s="1"/>
  <c r="O34" i="1"/>
  <c r="B70" i="8"/>
  <c r="G19" i="8"/>
  <c r="B71" i="8"/>
  <c r="H39" i="1"/>
  <c r="G24" i="8"/>
  <c r="I39" i="1" s="1"/>
  <c r="E40" i="1"/>
  <c r="G25" i="8"/>
  <c r="I40" i="1" s="1"/>
  <c r="D77" i="8"/>
  <c r="I70" i="1" s="1"/>
  <c r="C77" i="8"/>
  <c r="G21" i="8"/>
  <c r="I36" i="1" s="1"/>
  <c r="H36" i="1"/>
  <c r="B75" i="8"/>
  <c r="B78" i="8"/>
  <c r="B72" i="8"/>
  <c r="E14" i="8"/>
  <c r="O40" i="1"/>
  <c r="E35" i="8"/>
  <c r="P40" i="1" s="1"/>
  <c r="H72" i="8"/>
  <c r="Q65" i="1" s="1"/>
  <c r="G72" i="8"/>
  <c r="H75" i="8"/>
  <c r="Q68" i="1" s="1"/>
  <c r="G75" i="8"/>
  <c r="E31" i="8"/>
  <c r="P36" i="1" s="1"/>
  <c r="H78" i="8"/>
  <c r="Q71" i="1" s="1"/>
  <c r="G78" i="8"/>
  <c r="B6" i="2"/>
  <c r="D7" i="1"/>
  <c r="E36" i="8" l="1"/>
  <c r="P41" i="1" s="1"/>
  <c r="M66" i="1"/>
  <c r="K66" i="1"/>
  <c r="O66" i="1"/>
  <c r="M65" i="1"/>
  <c r="K65" i="1"/>
  <c r="O65" i="1"/>
  <c r="G72" i="1"/>
  <c r="E72" i="1"/>
  <c r="C72" i="1"/>
  <c r="O70" i="1"/>
  <c r="M70" i="1"/>
  <c r="K70" i="1"/>
  <c r="D71" i="8"/>
  <c r="I64" i="1" s="1"/>
  <c r="C71" i="8"/>
  <c r="O64" i="1"/>
  <c r="M64" i="1"/>
  <c r="K64" i="1"/>
  <c r="I34" i="1"/>
  <c r="B12" i="1"/>
  <c r="D78" i="8"/>
  <c r="I71" i="1" s="1"/>
  <c r="C78" i="8"/>
  <c r="M63" i="1"/>
  <c r="K63" i="1"/>
  <c r="O63" i="1"/>
  <c r="G69" i="1"/>
  <c r="E69" i="1"/>
  <c r="C69" i="1"/>
  <c r="C70" i="8"/>
  <c r="D70" i="8"/>
  <c r="I63" i="1" s="1"/>
  <c r="D75" i="8"/>
  <c r="I68" i="1" s="1"/>
  <c r="C75" i="8"/>
  <c r="M69" i="1"/>
  <c r="K69" i="1"/>
  <c r="O69" i="1"/>
  <c r="G67" i="1"/>
  <c r="E67" i="1"/>
  <c r="C67" i="1"/>
  <c r="G18" i="2"/>
  <c r="M72" i="1"/>
  <c r="K72" i="1"/>
  <c r="O72" i="1"/>
  <c r="D72" i="8"/>
  <c r="I65" i="1" s="1"/>
  <c r="C72" i="8"/>
  <c r="O67" i="1"/>
  <c r="M67" i="1"/>
  <c r="K67" i="1"/>
  <c r="M68" i="1"/>
  <c r="K68" i="1"/>
  <c r="O68" i="1"/>
  <c r="E70" i="1"/>
  <c r="C70" i="1"/>
  <c r="G70" i="1"/>
  <c r="O71" i="1"/>
  <c r="M71" i="1"/>
  <c r="K71" i="1"/>
  <c r="G66" i="1"/>
  <c r="E66" i="1"/>
  <c r="C66" i="1"/>
  <c r="E65" i="1" l="1"/>
  <c r="C65" i="1"/>
  <c r="G65" i="1"/>
  <c r="E71" i="1"/>
  <c r="C71" i="1"/>
  <c r="G71" i="1"/>
  <c r="E68" i="1"/>
  <c r="C68" i="1"/>
  <c r="G68" i="1"/>
  <c r="G63" i="1"/>
  <c r="E63" i="1"/>
  <c r="C63" i="1"/>
  <c r="B11" i="1"/>
  <c r="E64" i="1"/>
  <c r="C64" i="1"/>
  <c r="G64" i="1"/>
</calcChain>
</file>

<file path=xl/sharedStrings.xml><?xml version="1.0" encoding="utf-8"?>
<sst xmlns="http://schemas.openxmlformats.org/spreadsheetml/2006/main" count="2824" uniqueCount="909">
  <si>
    <t>EMBASSY OUTREACH  |  LEADERSHIP DASHBOARD</t>
  </si>
  <si>
    <t>EMBASSIES TRACKED</t>
  </si>
  <si>
    <t>ACTIVE OUTREACH</t>
  </si>
  <si>
    <t>ENGAGED</t>
  </si>
  <si>
    <t>NOT STARTED</t>
  </si>
  <si>
    <t>OVERDUE FOLLOW-UPS</t>
  </si>
  <si>
    <t>SILENT ACTIVE</t>
  </si>
  <si>
    <t>HIGH ENGAGEMENT</t>
  </si>
  <si>
    <t>RECORDS TO REVIEW</t>
  </si>
  <si>
    <t>KEY TAKEAWAYS</t>
  </si>
  <si>
    <t>PIPELINE STATUS &amp; REGIONAL SPREAD</t>
  </si>
  <si>
    <t>WHERE TO FOCUS: REGIONS &amp; OWNERS</t>
  </si>
  <si>
    <t>Region</t>
  </si>
  <si>
    <t>Embassies</t>
  </si>
  <si>
    <t>Active</t>
  </si>
  <si>
    <t>Engaged</t>
  </si>
  <si>
    <t>Engaged % (of embassies)</t>
  </si>
  <si>
    <t>Overdue (active)</t>
  </si>
  <si>
    <t>Overdue % (of active)</t>
  </si>
  <si>
    <t>Silent</t>
  </si>
  <si>
    <t>Owner</t>
  </si>
  <si>
    <t>ENGAGEMENT QUALITY &amp; CHANNELS</t>
  </si>
  <si>
    <t>ATTENTION REQUIRED</t>
  </si>
  <si>
    <t>#</t>
  </si>
  <si>
    <t>Country</t>
  </si>
  <si>
    <t>Status</t>
  </si>
  <si>
    <t>Days overdue</t>
  </si>
  <si>
    <t>Days silent</t>
  </si>
  <si>
    <t>DATA QUALITY SNAPSHOT &amp; DEFINITIONS</t>
  </si>
  <si>
    <t>Issue</t>
  </si>
  <si>
    <t>Records</t>
  </si>
  <si>
    <t>% of records</t>
  </si>
  <si>
    <t>Definitions &amp; notes</t>
  </si>
  <si>
    <t>Prepared from Embassy_Outreach_Analysis.xlsx (Clean_Data).  Data quality detail: Cleaning_Log and Removed_Rows sheets.</t>
  </si>
  <si>
    <t>DATA QUALITY REVIEW</t>
  </si>
  <si>
    <t>SUMMARY OF FINDINGS</t>
  </si>
  <si>
    <t>FIELD COMPLETENESS (cleaned data)</t>
  </si>
  <si>
    <t>Field</t>
  </si>
  <si>
    <t>Measured on</t>
  </si>
  <si>
    <t>Complete</t>
  </si>
  <si>
    <t>Base</t>
  </si>
  <si>
    <t>% complete</t>
  </si>
  <si>
    <t>Reading this table: "Complete" counts records where the field holds a usable value. Fields below 90% are shown in red. "Outreach started" excludes Not Started embassies; "Active" = Initial Contact, In Discussion, Meeting Scheduled, Engaged. Blank engagement level or channel on a Not Started embassy is expected and is not counted as a gap.</t>
  </si>
  <si>
    <t>Region populated</t>
  </si>
  <si>
    <t>All embassies</t>
  </si>
  <si>
    <t>Outreach owner assigned</t>
  </si>
  <si>
    <t>Valid email address</t>
  </si>
  <si>
    <t>Valid phone number</t>
  </si>
  <si>
    <t>Interaction count recorded (valid)</t>
  </si>
  <si>
    <t>Last contact date recorded</t>
  </si>
  <si>
    <t>Outreach started</t>
  </si>
  <si>
    <t>Engagement level recorded</t>
  </si>
  <si>
    <t>Next follow-up date scheduled</t>
  </si>
  <si>
    <t>Active embassies</t>
  </si>
  <si>
    <t>DETAILED FINDINGS</t>
  </si>
  <si>
    <t>Category</t>
  </si>
  <si>
    <t>Issue found</t>
  </si>
  <si>
    <t>Records affected</t>
  </si>
  <si>
    <t>Severity</t>
  </si>
  <si>
    <t>Impact on reporting / decisions</t>
  </si>
  <si>
    <t>Action taken in cleaning</t>
  </si>
  <si>
    <t>Recommended follow-up</t>
  </si>
  <si>
    <t>Duplicates &amp; identity</t>
  </si>
  <si>
    <t>Exact duplicate rows (same ID, country and contact)</t>
  </si>
  <si>
    <t>High</t>
  </si>
  <si>
    <t>Inflates the embassy total and status counts; distorts every percentage on the dashboard.</t>
  </si>
  <si>
    <t>Removed from Clean_Data; listed on Removed_Rows.</t>
  </si>
  <si>
    <t>Block duplicate IDs at entry (unique-ID validation).</t>
  </si>
  <si>
    <t>Near-duplicates: same country, email and dates re-entered under a new ID / contact (Mexico, Ghana, Singapore)</t>
  </si>
  <si>
    <t>One embassy counted twice with a different contact; unclear which contact is current. The 3 kept records may carry the wrong contact.</t>
  </si>
  <si>
    <t>Later entry removed, original kept and flagged NEAR_DUP_KEPT.</t>
  </si>
  <si>
    <t>Owners to confirm the correct contact for the 3 kept records.</t>
  </si>
  <si>
    <t>Missing Embassy_ID (Senegal, USA)</t>
  </si>
  <si>
    <t>Medium</t>
  </si>
  <si>
    <t>Records cannot be reliably updated or joined to other systems.</t>
  </si>
  <si>
    <t>IDs inferred from sequence (EMB-060, EMB-063); flagged.</t>
  </si>
  <si>
    <t>Confirm the two IDs against the master list.</t>
  </si>
  <si>
    <t>Same contact name appears under different countries (8 names, 17 records)</t>
  </si>
  <si>
    <t>Low</t>
  </si>
  <si>
    <t>May be coincidence or a copy-paste entry error; if wrong, contact details for those embassies are unreliable.</t>
  </si>
  <si>
    <t>No change; observation only.</t>
  </si>
  <si>
    <t>Spot-check the 17 records when verifying contacts.</t>
  </si>
  <si>
    <t>Missing information</t>
  </si>
  <si>
    <t>No outreach owner assigned</t>
  </si>
  <si>
    <t>No accountability: these embassies sit outside every owner's workload and their follow-ups can be missed.</t>
  </si>
  <si>
    <t>Labelled "Unassigned" (not dropped).</t>
  </si>
  <si>
    <t>Assign an owner to each; make Owner mandatory.</t>
  </si>
  <si>
    <t>Active embassy with no follow-up date scheduled</t>
  </si>
  <si>
    <t>Cannot be tracked as overdue, so the true overdue count is understated.</t>
  </si>
  <si>
    <t>Left blank and flagged.</t>
  </si>
  <si>
    <t>Owners to set a next action date; make it mandatory for active status.</t>
  </si>
  <si>
    <t>Engagement level not recorded where outreach has started</t>
  </si>
  <si>
    <t>Engagement analysis understates both High and Low; shown as "Not Recorded" on charts.</t>
  </si>
  <si>
    <t>Labelled "Not Recorded"; Not Started shown as N/A.</t>
  </si>
  <si>
    <t>Owners to rate engagement; add a drop-down.</t>
  </si>
  <si>
    <t>Interaction count missing, or negative (set to blank)</t>
  </si>
  <si>
    <t>Activity level unknown for these embassies; averages exclude them.</t>
  </si>
  <si>
    <t>Negative value blanked (true value unknown); missing not assumed 0.</t>
  </si>
  <si>
    <t>Re-capture from owners' records.</t>
  </si>
  <si>
    <t>Email missing or malformed</t>
  </si>
  <si>
    <t>Outreach cannot be sent or confirmed by email.</t>
  </si>
  <si>
    <t>Original text kept; Email_Valid flag added.</t>
  </si>
  <si>
    <t>Obtain valid emails; add format validation.</t>
  </si>
  <si>
    <t>Phone missing or incomplete</t>
  </si>
  <si>
    <t>Alternative channel unavailable for follow-up.</t>
  </si>
  <si>
    <t>Incomplete numbers cleared; valid numbers standardised.</t>
  </si>
  <si>
    <t>Obtain numbers; apply a single format.</t>
  </si>
  <si>
    <t>Logical inconsistency</t>
  </si>
  <si>
    <t>Status conflicts with activity (Not Started but contacted; or active with 0 interactions)</t>
  </si>
  <si>
    <t>Status is the main pipeline measure - these records may sit in the wrong stage, so pipeline counts could be off.</t>
  </si>
  <si>
    <t>Kept as recorded; flagged for owner confirmation.</t>
  </si>
  <si>
    <t>Owners to confirm true status; add a rule linking status and interaction count.</t>
  </si>
  <si>
    <t>Date errors: last contact before first contact (4), future-dated first / last contact (4 combined), follow-up before last contact (2)</t>
  </si>
  <si>
    <t>Days-since-contact and overdue logic is unreliable; future-dated contacts are excluded from the silent measure, so those embassies cannot be flagged.</t>
  </si>
  <si>
    <t>Kept as recorded; Days_Since_Last_Contact left blank for future dates; flagged.</t>
  </si>
  <si>
    <t>Correct from source (likely typing / day-month errors); add date validation.</t>
  </si>
  <si>
    <t>Region mapping unclear (Kazakhstan under Asia-Pacific while other Central Asian states are South &amp; Central Asia)</t>
  </si>
  <si>
    <t>Regional totals depend on this mapping decision (1 embassy).</t>
  </si>
  <si>
    <t>Left as recorded; flagged.</t>
  </si>
  <si>
    <t>Management to agree one region mapping list.</t>
  </si>
  <si>
    <t>Standardisation (fixed)</t>
  </si>
  <si>
    <t>Outreach status spelling variants (15 spellings for 7 statuses)</t>
  </si>
  <si>
    <t>Without fixing, the same status would be split across several categories.</t>
  </si>
  <si>
    <t>Standardised to 7 statuses.</t>
  </si>
  <si>
    <t>Replace free text with a drop-down list.</t>
  </si>
  <si>
    <t>Region spelling variants or blank region</t>
  </si>
  <si>
    <t>Regional views would be fragmented or incomplete.</t>
  </si>
  <si>
    <t>Mapped to 6 regions; blanks filled from country.</t>
  </si>
  <si>
    <t>Use a country-to-region lookup list.</t>
  </si>
  <si>
    <t>Country name case / spacing variants</t>
  </si>
  <si>
    <t>Country-level counts and lookups would fail.</t>
  </si>
  <si>
    <t>Trimmed and title-cased.</t>
  </si>
  <si>
    <t>Use a standard country list.</t>
  </si>
  <si>
    <t>Dates stored as text (mixed dd/mm/yyyy and yyyy-mm-dd)</t>
  </si>
  <si>
    <t>Text dates cannot be sorted or used in date calculations. Day-first was assumed for dd/mm/yyyy.</t>
  </si>
  <si>
    <t>Converted to real dates.</t>
  </si>
  <si>
    <t>Enforce a date format on entry.</t>
  </si>
  <si>
    <t>Note: a record can carry several issues, so counts overlap and do not add up to a row total. "Records needing review" on the Dashboard counts each record once (any gap / conflict flag; cosmetic fixes excluded). Severity is a judgement based on effect on decisions: High = changes a headline number or accountability; Medium = weakens analysis; Low = cosmetic or already fixed.</t>
  </si>
  <si>
    <t>RECORD-LEVEL WORKLIST: HIGH-SEVERITY RECORDS TO CONFIRM FIRST</t>
  </si>
  <si>
    <t>Embassy ID</t>
  </si>
  <si>
    <t>Country  |  Status</t>
  </si>
  <si>
    <t>Outreach owner</t>
  </si>
  <si>
    <t>What to confirm</t>
  </si>
  <si>
    <t>Issue type</t>
  </si>
  <si>
    <t>Next step</t>
  </si>
  <si>
    <t>EMB-006</t>
  </si>
  <si>
    <t>Status says Not Started but a last contact date and 2 interactions are recorded</t>
  </si>
  <si>
    <t>Status conflict</t>
  </si>
  <si>
    <t>EMB-028</t>
  </si>
  <si>
    <t>Status says Not Started but a last contact date and 1 interaction are recorded</t>
  </si>
  <si>
    <t>EMB-074</t>
  </si>
  <si>
    <t>Status says Not Started but a last contact date and 3 interactions are recorded</t>
  </si>
  <si>
    <t>EMB-018</t>
  </si>
  <si>
    <t>In Discussion with 0 interactions recorded</t>
  </si>
  <si>
    <t>EMB-022</t>
  </si>
  <si>
    <t>Engaged with 0 interactions recorded</t>
  </si>
  <si>
    <t>EMB-047</t>
  </si>
  <si>
    <t>Engaged with 0 interactions and no last contact date</t>
  </si>
  <si>
    <t>EMB-062</t>
  </si>
  <si>
    <t>EMB-014</t>
  </si>
  <si>
    <t>Last contact date is in the future (Dec 2026) and no follow-up date set</t>
  </si>
  <si>
    <t>Date error</t>
  </si>
  <si>
    <t>EMB-038</t>
  </si>
  <si>
    <t>Last contact date is in the future (Nov 2026); follow-up date falls before it</t>
  </si>
  <si>
    <t>EMB-061</t>
  </si>
  <si>
    <t>Last contact date is in the future (Jan 2027); follow-up date falls before it</t>
  </si>
  <si>
    <t>EMB-078</t>
  </si>
  <si>
    <t>First contact is in the future (Oct 2026) and after last contact (Jul 2025)</t>
  </si>
  <si>
    <t>EMB-046</t>
  </si>
  <si>
    <t>Last contact (Dec 2025) is earlier than first contact (Aug 2026)</t>
  </si>
  <si>
    <t>EMB-053</t>
  </si>
  <si>
    <t>Ghana: last contact (Nov 2025) earlier than first contact (Sep 2026); near-duplicate kept - confirm contact. Its 331-day silent figure is unreliable</t>
  </si>
  <si>
    <t>Date error + near-duplicate</t>
  </si>
  <si>
    <t>EMB-055</t>
  </si>
  <si>
    <t>Last contact (Aug 2025) is earlier than first contact (Sep 2026)</t>
  </si>
  <si>
    <t>EMB-065</t>
  </si>
  <si>
    <t>Mexico: near-duplicate (EMB-094) removed - confirm correct contact; phone invalid</t>
  </si>
  <si>
    <t>Near-duplicate</t>
  </si>
  <si>
    <t>EMB-026</t>
  </si>
  <si>
    <t>Singapore: near-duplicate (EMB-095) removed - confirm correct contact</t>
  </si>
  <si>
    <t>EMB-060</t>
  </si>
  <si>
    <t>Embassy ID was blank and inferred as EMB-060 (Senegal); email missing</t>
  </si>
  <si>
    <t>ID inferred</t>
  </si>
  <si>
    <t>EMB-063</t>
  </si>
  <si>
    <t>Embassy ID was blank and inferred as EMB-063 (USA); no owner assigned</t>
  </si>
  <si>
    <t>Country, status and owner are looked up live from Clean_Data by Embassy ID. This list covers the high-severity record issues; field-level gaps (missing owner, follow-up, email, phone) are counted above and can be filtered on Clean_Data using the Issue_Flags column.</t>
  </si>
  <si>
    <t>ASSUMPTIONS &amp; LIMITATIONS</t>
  </si>
  <si>
    <t>•  Text dates written dd/mm/yyyy were read day-first. If any were month-first, those dates are wrong; the 8 converted records should be spot-checked.</t>
  </si>
  <si>
    <t>•  Records that conflict with their own status or dates were kept as recorded (not corrected) because the true value cannot be known from the data alone.</t>
  </si>
  <si>
    <t>•  No external check was possible: email domains, phone numbers and contacts were checked for format and completeness only, not for real-world accuracy.</t>
  </si>
  <si>
    <t>Settings (inputs used by formulas across the workbook)</t>
  </si>
  <si>
    <t>Legend</t>
  </si>
  <si>
    <t>Blue text on yellow = input you can change</t>
  </si>
  <si>
    <t>Green-shaded columns on Clean_Data = formulas driven by the as-of date</t>
  </si>
  <si>
    <t>Embassy_ID</t>
  </si>
  <si>
    <t>Contact_Person</t>
  </si>
  <si>
    <t>Designation</t>
  </si>
  <si>
    <t>Email</t>
  </si>
  <si>
    <t>Email_Valid</t>
  </si>
  <si>
    <t>Phone_Clean</t>
  </si>
  <si>
    <t>Phone_Valid</t>
  </si>
  <si>
    <t>Outreach_Status</t>
  </si>
  <si>
    <t>Outreach_Owner</t>
  </si>
  <si>
    <t>First_Contact_Date</t>
  </si>
  <si>
    <t>Last_Contact_Date</t>
  </si>
  <si>
    <t>Next_Followup_Date</t>
  </si>
  <si>
    <t>Interactions</t>
  </si>
  <si>
    <t>Engagement_Level</t>
  </si>
  <si>
    <t>Channel</t>
  </si>
  <si>
    <t>Remarks</t>
  </si>
  <si>
    <t>Issue_Flags</t>
  </si>
  <si>
    <t>Source_Row</t>
  </si>
  <si>
    <t>Days_Since_Last_Contact</t>
  </si>
  <si>
    <t>Followup_Overdue</t>
  </si>
  <si>
    <t>Silent_Active</t>
  </si>
  <si>
    <t>EMB-001</t>
  </si>
  <si>
    <t>France</t>
  </si>
  <si>
    <t>Europe</t>
  </si>
  <si>
    <t>Mei Schmidt</t>
  </si>
  <si>
    <t>Counsellor (Public Affairs)</t>
  </si>
  <si>
    <t>mei.schmidt@france.embassy.example</t>
  </si>
  <si>
    <t>Yes</t>
  </si>
  <si>
    <t>+91 91399 86987</t>
  </si>
  <si>
    <t>Not Started</t>
  </si>
  <si>
    <t>Neha Kulkarni</t>
  </si>
  <si>
    <t>N/A (Not Started)</t>
  </si>
  <si>
    <t>Priority list - Q4</t>
  </si>
  <si>
    <t>COUNTRY_STD</t>
  </si>
  <si>
    <t>EMB-002</t>
  </si>
  <si>
    <t>Germany</t>
  </si>
  <si>
    <t>Stefan Haddad</t>
  </si>
  <si>
    <t>Commercial Counsellor</t>
  </si>
  <si>
    <t>stefan.haddad@germany.embassy.example</t>
  </si>
  <si>
    <t>+91 11817 07536</t>
  </si>
  <si>
    <t>Initial Contact</t>
  </si>
  <si>
    <t>Priya Nair</t>
  </si>
  <si>
    <t>Intro call held</t>
  </si>
  <si>
    <t>COUNTRY_STD; STATUS_STD</t>
  </si>
  <si>
    <t>EMB-003</t>
  </si>
  <si>
    <t>Italy</t>
  </si>
  <si>
    <t>Kwame Okafor</t>
  </si>
  <si>
    <t>kwame.okafor@italy.embassy.example</t>
  </si>
  <si>
    <t>+91 11269 87168</t>
  </si>
  <si>
    <t>On Hold</t>
  </si>
  <si>
    <t>Not Recorded</t>
  </si>
  <si>
    <t>Phone</t>
  </si>
  <si>
    <t>Awaiting HQ approval</t>
  </si>
  <si>
    <t>REGION_FILLED; ENG_MISSING</t>
  </si>
  <si>
    <t>EMB-004</t>
  </si>
  <si>
    <t>Spain</t>
  </si>
  <si>
    <t>Leila Bergstrom</t>
  </si>
  <si>
    <t>Protocol Officer</t>
  </si>
  <si>
    <t>leila.bergstrom@spain.embassy.example</t>
  </si>
  <si>
    <t>+91 11373 17784</t>
  </si>
  <si>
    <t>Sameer Khan</t>
  </si>
  <si>
    <t>Regular quarterly touchpoints</t>
  </si>
  <si>
    <t>EMB-005</t>
  </si>
  <si>
    <t>Portugal</t>
  </si>
  <si>
    <t>Omar Khalil</t>
  </si>
  <si>
    <t>omar.khalil@portugal.embassy.example</t>
  </si>
  <si>
    <t>+91 97876 80457</t>
  </si>
  <si>
    <t>In Discussion</t>
  </si>
  <si>
    <t>Anita Deshmukh</t>
  </si>
  <si>
    <t>Official Letter</t>
  </si>
  <si>
    <t>Positive response</t>
  </si>
  <si>
    <t>Netherlands</t>
  </si>
  <si>
    <t>Carla Alvarez</t>
  </si>
  <si>
    <t>carla.alvarez@netherlands.embassy.example</t>
  </si>
  <si>
    <t>+91 11819 33190</t>
  </si>
  <si>
    <t>Contact details to be verified</t>
  </si>
  <si>
    <t>STATUS_STD; STATUS_CONFLICT</t>
  </si>
  <si>
    <t>EMB-007</t>
  </si>
  <si>
    <t>Belgium</t>
  </si>
  <si>
    <t>Amara Okafor</t>
  </si>
  <si>
    <t>amara.okafor@belgium.embassy.example</t>
  </si>
  <si>
    <t>+91 11499 72837</t>
  </si>
  <si>
    <t>Rahul Verma</t>
  </si>
  <si>
    <t>Event</t>
  </si>
  <si>
    <t>INTERACTIONS_MISSING</t>
  </si>
  <si>
    <t>EMB-008</t>
  </si>
  <si>
    <t>Switzerland</t>
  </si>
  <si>
    <t>Elena Rossi</t>
  </si>
  <si>
    <t>elena.rossi@switzerland.embassy.example</t>
  </si>
  <si>
    <t>+91 11447 51779</t>
  </si>
  <si>
    <t>Meeting Scheduled</t>
  </si>
  <si>
    <t>Meeting with Ambassador pending</t>
  </si>
  <si>
    <t>ENG_MISSING; FOLLOWUP_MISSING; INTERACTIONS_MISSING</t>
  </si>
  <si>
    <t>EMB-009</t>
  </si>
  <si>
    <t>Austria</t>
  </si>
  <si>
    <t>Amara Petrov</t>
  </si>
  <si>
    <t>Second Secretary</t>
  </si>
  <si>
    <t>Missing</t>
  </si>
  <si>
    <t>No</t>
  </si>
  <si>
    <t>Unassigned</t>
  </si>
  <si>
    <t>STATUS_STD; EMAIL_MISSING; PHONE_INVALID; OWNER_MISSING</t>
  </si>
  <si>
    <t>EMB-010</t>
  </si>
  <si>
    <t>Sweden</t>
  </si>
  <si>
    <t>Joao Garcia</t>
  </si>
  <si>
    <t>joao.garcia@sweden.embassy.example</t>
  </si>
  <si>
    <t>+91 96425 24776</t>
  </si>
  <si>
    <t>Awaiting acknowledgement</t>
  </si>
  <si>
    <t>STATUS_STD; FOLLOWUP_MISSING</t>
  </si>
  <si>
    <t>EMB-011</t>
  </si>
  <si>
    <t>Norway</t>
  </si>
  <si>
    <t>Diego Mensah</t>
  </si>
  <si>
    <t>diego.mensah@norway.embassy.example</t>
  </si>
  <si>
    <t>+91 95258 98319</t>
  </si>
  <si>
    <t>Paused - elections</t>
  </si>
  <si>
    <t>DATE_TEXT</t>
  </si>
  <si>
    <t>EMB-012</t>
  </si>
  <si>
    <t>Denmark</t>
  </si>
  <si>
    <t>Mei Moreau</t>
  </si>
  <si>
    <t>First Secretary (Political)</t>
  </si>
  <si>
    <t>mei.moreau@denmark.embassy.example</t>
  </si>
  <si>
    <t>+91 11814 52441</t>
  </si>
  <si>
    <t>Date to be confirmed</t>
  </si>
  <si>
    <t>EMB-013</t>
  </si>
  <si>
    <t>Finland</t>
  </si>
  <si>
    <t>Stefan Petrov</t>
  </si>
  <si>
    <t>stefan.petrov@finland.embassy.example</t>
  </si>
  <si>
    <t>+91 11515 84645</t>
  </si>
  <si>
    <t>Arjun Mehta</t>
  </si>
  <si>
    <t>Poland</t>
  </si>
  <si>
    <t>Aisha Tanaka</t>
  </si>
  <si>
    <t>Press &amp; Information Officer</t>
  </si>
  <si>
    <t>aisha.tanaka@poland.embassy.example</t>
  </si>
  <si>
    <t>+91 11494 06925</t>
  </si>
  <si>
    <t>DATE_FUTURE_LAST; FOLLOWUP_MISSING</t>
  </si>
  <si>
    <t>EMB-015</t>
  </si>
  <si>
    <t>Czechia</t>
  </si>
  <si>
    <t>Sofia Larsen</t>
  </si>
  <si>
    <t>sofia.larsen@czechrepubli.embassy.example</t>
  </si>
  <si>
    <t>+91 99128 08458</t>
  </si>
  <si>
    <t>Reviewing MoU wording</t>
  </si>
  <si>
    <t>REGION_STD</t>
  </si>
  <si>
    <t>EMB-016</t>
  </si>
  <si>
    <t>Hungary</t>
  </si>
  <si>
    <t>Fatima Moreau</t>
  </si>
  <si>
    <t>Cultural Attache</t>
  </si>
  <si>
    <t>fatima.moreau@hungary.embassy.example</t>
  </si>
  <si>
    <t>Note verbale sent</t>
  </si>
  <si>
    <t>PHONE_MISSING; FOLLOWUP_MISSING</t>
  </si>
  <si>
    <t>EMB-017</t>
  </si>
  <si>
    <t>Greece</t>
  </si>
  <si>
    <t>Omar Alvarez</t>
  </si>
  <si>
    <t>omar.alvarez@greece.embassy.example</t>
  </si>
  <si>
    <t>+91 11266 88281</t>
  </si>
  <si>
    <t>REGION_FILLED</t>
  </si>
  <si>
    <t>Ireland</t>
  </si>
  <si>
    <t>Fatima Novak</t>
  </si>
  <si>
    <t>fatima.novak@ireland.embassy.example</t>
  </si>
  <si>
    <t>+91 11632 44845</t>
  </si>
  <si>
    <t>Draft proposal shared</t>
  </si>
  <si>
    <t>STATUS_CONFLICT</t>
  </si>
  <si>
    <t>EMB-019</t>
  </si>
  <si>
    <t>UK</t>
  </si>
  <si>
    <t>Amara Rossi</t>
  </si>
  <si>
    <t>amara.rossi@unitedkingdo.embassy.example</t>
  </si>
  <si>
    <t>+91 91543 82993</t>
  </si>
  <si>
    <t>EMB-020</t>
  </si>
  <si>
    <t>Russian Federation</t>
  </si>
  <si>
    <t>carla.alvarez@russia.embassy.example</t>
  </si>
  <si>
    <t>+91 11217 44325</t>
  </si>
  <si>
    <t>EMB-021</t>
  </si>
  <si>
    <t>Japan</t>
  </si>
  <si>
    <t>Asia-Pacific</t>
  </si>
  <si>
    <t>Omar Larsen</t>
  </si>
  <si>
    <t>omar.larsen@japan.embassy.example</t>
  </si>
  <si>
    <t>+91 11626 45154</t>
  </si>
  <si>
    <t>Meeting</t>
  </si>
  <si>
    <t>COUNTRY_STD; REGION_FILLED</t>
  </si>
  <si>
    <t>Korea (South)</t>
  </si>
  <si>
    <t>Sofia Silva</t>
  </si>
  <si>
    <t>sofia.silva@southkorea.embassy.example</t>
  </si>
  <si>
    <t>+91 97883 65506</t>
  </si>
  <si>
    <t>Embassy declined further participation</t>
  </si>
  <si>
    <t>ENG_MISSING; STATUS_CONFLICT</t>
  </si>
  <si>
    <t>EMB-023</t>
  </si>
  <si>
    <t>China</t>
  </si>
  <si>
    <t>fatima.moreau@china.embassy.example</t>
  </si>
  <si>
    <t>+91 11378 49518</t>
  </si>
  <si>
    <t>Active collaboration</t>
  </si>
  <si>
    <t>EMB-024</t>
  </si>
  <si>
    <t>Indonesia</t>
  </si>
  <si>
    <t>Andrei Tanaka</t>
  </si>
  <si>
    <t>andrei.tanaka@indonesia.embassy.example</t>
  </si>
  <si>
    <t>+91 11783 75555</t>
  </si>
  <si>
    <t>OWNER_MISSING</t>
  </si>
  <si>
    <t>EMB-025</t>
  </si>
  <si>
    <t>Malaysia</t>
  </si>
  <si>
    <t>Nadia Tanaka</t>
  </si>
  <si>
    <t>nadia.tanaka@malaysia.embassy.example</t>
  </si>
  <si>
    <t>PHONE_INVALID</t>
  </si>
  <si>
    <t>Singapore</t>
  </si>
  <si>
    <t>Omar Rossi</t>
  </si>
  <si>
    <t>omar.rossi@singapore.embassy.example</t>
  </si>
  <si>
    <t>+91 11368 82834</t>
  </si>
  <si>
    <t>Closed</t>
  </si>
  <si>
    <t>Declined - policy restrictions</t>
  </si>
  <si>
    <t>NEAR_DUP_KEPT</t>
  </si>
  <si>
    <t>EMB-027</t>
  </si>
  <si>
    <t>Thailand</t>
  </si>
  <si>
    <t>Diego Alvarez</t>
  </si>
  <si>
    <t>diego.alvarez@thailand.embassy.example</t>
  </si>
  <si>
    <t>+91 11704 42248</t>
  </si>
  <si>
    <t>Co-hosted event in Q2</t>
  </si>
  <si>
    <t>Vietnam</t>
  </si>
  <si>
    <t>Diego Garcia</t>
  </si>
  <si>
    <t>diego.garcia@vietnam.embassy.example</t>
  </si>
  <si>
    <t>+91 11428 07001</t>
  </si>
  <si>
    <t>EMB-029</t>
  </si>
  <si>
    <t>Philippines</t>
  </si>
  <si>
    <t>Elena Mensah</t>
  </si>
  <si>
    <t>elena.mensah@philippines.embassy.example</t>
  </si>
  <si>
    <t>+91 11816 63233</t>
  </si>
  <si>
    <t>EMB-030</t>
  </si>
  <si>
    <t>Australia</t>
  </si>
  <si>
    <t>Pavel Petrov</t>
  </si>
  <si>
    <t>pavel.petrov@australia.embassy.example</t>
  </si>
  <si>
    <t>+91 11259 21236</t>
  </si>
  <si>
    <t>Embassy leadership change</t>
  </si>
  <si>
    <t>STATUS_STD</t>
  </si>
  <si>
    <t>EMB-031</t>
  </si>
  <si>
    <t>New Zealand</t>
  </si>
  <si>
    <t>Kwame Yilmaz</t>
  </si>
  <si>
    <t>kwame.yilmaz@newzealand.embassy.example</t>
  </si>
  <si>
    <t>+91 11790 85417</t>
  </si>
  <si>
    <t>Venue finalised</t>
  </si>
  <si>
    <t>ENG_MISSING</t>
  </si>
  <si>
    <t>EMB-032</t>
  </si>
  <si>
    <t>Mongolia</t>
  </si>
  <si>
    <t>Elena Larsen</t>
  </si>
  <si>
    <t>elena.larsen@mongolia.embassy.example</t>
  </si>
  <si>
    <t>+91 92016 12840</t>
  </si>
  <si>
    <t>Exploring joint programme</t>
  </si>
  <si>
    <t>EMB-033</t>
  </si>
  <si>
    <t>Myanmar</t>
  </si>
  <si>
    <t>Stefan Mensah</t>
  </si>
  <si>
    <t>stefan.mensah@myanmar</t>
  </si>
  <si>
    <t>+91 11819 79678</t>
  </si>
  <si>
    <t>STATUS_STD; DATE_TEXT; EMAIL_INVALID</t>
  </si>
  <si>
    <t>EMB-034</t>
  </si>
  <si>
    <t>Cambodia</t>
  </si>
  <si>
    <t>Mei Silva</t>
  </si>
  <si>
    <t>mei.silva@cambodia.embassy.example</t>
  </si>
  <si>
    <t>+91 11839 18276</t>
  </si>
  <si>
    <t>EMB-035</t>
  </si>
  <si>
    <t>UAE</t>
  </si>
  <si>
    <t>Middle East &amp; North Africa</t>
  </si>
  <si>
    <t>Leila Nguyen</t>
  </si>
  <si>
    <t>leila.nguyen@unitedarabem.embassy.example</t>
  </si>
  <si>
    <t>+91 11580 57803</t>
  </si>
  <si>
    <t>EMB-036</t>
  </si>
  <si>
    <t>Saudi Arabia</t>
  </si>
  <si>
    <t>Nadia Nguyen</t>
  </si>
  <si>
    <t>nadia.nguyen@saudiarabia.embassy.example</t>
  </si>
  <si>
    <t>+91 11808 53867</t>
  </si>
  <si>
    <t>EMB-037</t>
  </si>
  <si>
    <t>Qatar</t>
  </si>
  <si>
    <t>Carla Haddad</t>
  </si>
  <si>
    <t>carla.haddad@qatar.embassy.example</t>
  </si>
  <si>
    <t>+91 11229 83725</t>
  </si>
  <si>
    <t>Kuwait</t>
  </si>
  <si>
    <t>Yuki Zhang</t>
  </si>
  <si>
    <t>yuki.zhang@kuwait.embassy.example</t>
  </si>
  <si>
    <t>+91 99992 48005</t>
  </si>
  <si>
    <t>DATE_FUTURE_LAST; FOLLOWUP_BEFORE_LAST</t>
  </si>
  <si>
    <t>EMB-039</t>
  </si>
  <si>
    <t>Oman</t>
  </si>
  <si>
    <t>amara.rossi@oman.embassy.example</t>
  </si>
  <si>
    <t>+91 11213 57164</t>
  </si>
  <si>
    <t>OWNER_MISSING; ENG_MISSING</t>
  </si>
  <si>
    <t>EMB-040</t>
  </si>
  <si>
    <t>Bahrain</t>
  </si>
  <si>
    <t>yuki.zhang@bahrain.embassy.example</t>
  </si>
  <si>
    <t>+91 95213 62958</t>
  </si>
  <si>
    <t>EMB-041</t>
  </si>
  <si>
    <t>Iran</t>
  </si>
  <si>
    <t>diego.alvarez@iran.embassy.example</t>
  </si>
  <si>
    <t>+91 11570 94098</t>
  </si>
  <si>
    <t>STATUS_STD; ENG_MISSING</t>
  </si>
  <si>
    <t>EMB-042</t>
  </si>
  <si>
    <t>Iraq</t>
  </si>
  <si>
    <t>Stefan Okafor</t>
  </si>
  <si>
    <t>stefan.okafor@iraq.embassy.example</t>
  </si>
  <si>
    <t>+91 93896 50133</t>
  </si>
  <si>
    <t>EMB-043</t>
  </si>
  <si>
    <t>Israel</t>
  </si>
  <si>
    <t>Aisha Garcia</t>
  </si>
  <si>
    <t>aisha.garcia@israel.embassy.example</t>
  </si>
  <si>
    <t>+91 11401 15276</t>
  </si>
  <si>
    <t>EMB-044</t>
  </si>
  <si>
    <t>Jordan</t>
  </si>
  <si>
    <t>Andrei Larsen</t>
  </si>
  <si>
    <t>andrei.larsen@jordan.embassy.example</t>
  </si>
  <si>
    <t>Not a fit at this time</t>
  </si>
  <si>
    <t>EMB-045</t>
  </si>
  <si>
    <t>Egypt</t>
  </si>
  <si>
    <t>Sub-Saharan Africa</t>
  </si>
  <si>
    <t>Fatima Garcia</t>
  </si>
  <si>
    <t>fatima.garcia@egypt.embassy.example</t>
  </si>
  <si>
    <t>+91 93516 19945</t>
  </si>
  <si>
    <t>Morocco</t>
  </si>
  <si>
    <t>Pavel Alvarez</t>
  </si>
  <si>
    <t>pavel.alvarez@morocco.embassy.example</t>
  </si>
  <si>
    <t>+91 11484 44193</t>
  </si>
  <si>
    <t>DATE_ORDER</t>
  </si>
  <si>
    <t>Algeria</t>
  </si>
  <si>
    <t>carla.alvarez@algeria.embassy.example</t>
  </si>
  <si>
    <t>+91 11550 56547</t>
  </si>
  <si>
    <t>Joint working group formed</t>
  </si>
  <si>
    <t>EMB-048</t>
  </si>
  <si>
    <t>Turkey</t>
  </si>
  <si>
    <t>Omar Petrov</t>
  </si>
  <si>
    <t>+91 11320 59871</t>
  </si>
  <si>
    <t>Introductory email sent</t>
  </si>
  <si>
    <t>EMAIL_MISSING</t>
  </si>
  <si>
    <t>EMB-049</t>
  </si>
  <si>
    <t>South Africa</t>
  </si>
  <si>
    <t>Pavel Rossi</t>
  </si>
  <si>
    <t>pavel.rossi.southafrica.embassy.example</t>
  </si>
  <si>
    <t>+91 94658 73064</t>
  </si>
  <si>
    <t>EMAIL_INVALID</t>
  </si>
  <si>
    <t>EMB-050</t>
  </si>
  <si>
    <t>Nigeria</t>
  </si>
  <si>
    <t>Andrei Petrov</t>
  </si>
  <si>
    <t>andrei.petrov@nigeria.embassy.example</t>
  </si>
  <si>
    <t>+91 11778 92352</t>
  </si>
  <si>
    <t>REGION_STD; DATE_TEXT</t>
  </si>
  <si>
    <t>EMB-051</t>
  </si>
  <si>
    <t>Kenya</t>
  </si>
  <si>
    <t>Joao Nguyen</t>
  </si>
  <si>
    <t>joao.nguyen@kenya.embassy.example</t>
  </si>
  <si>
    <t>+91 11613 78522</t>
  </si>
  <si>
    <t>EMB-052</t>
  </si>
  <si>
    <t>Ethiopia</t>
  </si>
  <si>
    <t>Yuki Khalil</t>
  </si>
  <si>
    <t>yuki.khalil@ethiopia.embassy.example</t>
  </si>
  <si>
    <t>REGION_STD; PHONE_MISSING</t>
  </si>
  <si>
    <t>Ghana</t>
  </si>
  <si>
    <t>Omar Novak</t>
  </si>
  <si>
    <t>omar.novak@ghana.embassy.example</t>
  </si>
  <si>
    <t>+91 11761 75442</t>
  </si>
  <si>
    <t>NEAR_DUP_KEPT; DATE_ORDER</t>
  </si>
  <si>
    <t>EMB-054</t>
  </si>
  <si>
    <t>Tanzania</t>
  </si>
  <si>
    <t>Sofia Nguyen</t>
  </si>
  <si>
    <t>sofia.nguyen@tanzania.embassy.example</t>
  </si>
  <si>
    <t>+91 93059 77605</t>
  </si>
  <si>
    <t>FOLLOWUP_MISSING</t>
  </si>
  <si>
    <t>Uganda</t>
  </si>
  <si>
    <t>Tariq Sato</t>
  </si>
  <si>
    <t>tariq.sato@uganda.embassy.example</t>
  </si>
  <si>
    <t>+91 11751 41363</t>
  </si>
  <si>
    <t>STATUS_STD; DATE_ORDER</t>
  </si>
  <si>
    <t>EMB-056</t>
  </si>
  <si>
    <t>Zambia</t>
  </si>
  <si>
    <t>Ingrid Novak</t>
  </si>
  <si>
    <t>ingrid.novak@zambia.embassy.example</t>
  </si>
  <si>
    <t>+91 94668 63166</t>
  </si>
  <si>
    <t>EMB-057</t>
  </si>
  <si>
    <t>Zimbabwe</t>
  </si>
  <si>
    <t>Chen Novak</t>
  </si>
  <si>
    <t>+91 97704 41047</t>
  </si>
  <si>
    <t>REGION_STD; EMAIL_MISSING</t>
  </si>
  <si>
    <t>EMB-058</t>
  </si>
  <si>
    <t>Mozambique</t>
  </si>
  <si>
    <t>Chen Khalil</t>
  </si>
  <si>
    <t>chen.khalil@mozambique.embassy.example</t>
  </si>
  <si>
    <t>+91 94042 94747</t>
  </si>
  <si>
    <t>EMB-059</t>
  </si>
  <si>
    <t>Angola</t>
  </si>
  <si>
    <t>Elena Tanaka</t>
  </si>
  <si>
    <t>elena.tanaka@angola.embassy.example</t>
  </si>
  <si>
    <t>PHONE_MISSING; OWNER_MISSING</t>
  </si>
  <si>
    <t>Senegal</t>
  </si>
  <si>
    <t>Stefan Larsen</t>
  </si>
  <si>
    <t>+91 11305 70304</t>
  </si>
  <si>
    <t>ID_INFERRED; EMAIL_MISSING; ENG_MISSING</t>
  </si>
  <si>
    <t>Rwanda</t>
  </si>
  <si>
    <t>Marco Tanaka</t>
  </si>
  <si>
    <t>marco.tanaka@rwanda.embassy.example</t>
  </si>
  <si>
    <t>+91 90300 42637</t>
  </si>
  <si>
    <t>Mauritius</t>
  </si>
  <si>
    <t>Tariq Rossi</t>
  </si>
  <si>
    <t>tariq.rossi@mauritius.embassy.example</t>
  </si>
  <si>
    <t>+91 97929 92398</t>
  </si>
  <si>
    <t>USA</t>
  </si>
  <si>
    <t>Americas</t>
  </si>
  <si>
    <t>Aisha Novak</t>
  </si>
  <si>
    <t>aisha.novak.unitedstates.embassy.example</t>
  </si>
  <si>
    <t>ID_INFERRED; EMAIL_INVALID; PHONE_MISSING; OWNER_MISSING</t>
  </si>
  <si>
    <t>EMB-064</t>
  </si>
  <si>
    <t>Canada</t>
  </si>
  <si>
    <t>diego.mensah@canada</t>
  </si>
  <si>
    <t>+91 11366 28290</t>
  </si>
  <si>
    <t>REGION_STD; EMAIL_INVALID</t>
  </si>
  <si>
    <t>Mexico</t>
  </si>
  <si>
    <t>Elena Costa</t>
  </si>
  <si>
    <t>elena.costa@mexico.embassy.example</t>
  </si>
  <si>
    <t>NEAR_DUP_KEPT; PHONE_INVALID; ENG_MISSING</t>
  </si>
  <si>
    <t>EMB-066</t>
  </si>
  <si>
    <t>Brazil</t>
  </si>
  <si>
    <t>Amara Kim</t>
  </si>
  <si>
    <t>amara.kim.brazil.embassy.example</t>
  </si>
  <si>
    <t>+91 11827 60821</t>
  </si>
  <si>
    <t>EMB-067</t>
  </si>
  <si>
    <t>Argentina</t>
  </si>
  <si>
    <t>Sofia Petrov</t>
  </si>
  <si>
    <t>sofia.petrov.argentina.embassy.example</t>
  </si>
  <si>
    <t>+91 11374 65501</t>
  </si>
  <si>
    <t>STATUS_STD; EMAIL_INVALID; OWNER_MISSING</t>
  </si>
  <si>
    <t>EMB-068</t>
  </si>
  <si>
    <t>Chile</t>
  </si>
  <si>
    <t>Kwame Haddad</t>
  </si>
  <si>
    <t>kwame.haddad@chile.embassy.example</t>
  </si>
  <si>
    <t>+91 11650 98680</t>
  </si>
  <si>
    <t>EMB-069</t>
  </si>
  <si>
    <t>Colombia</t>
  </si>
  <si>
    <t>Aisha Haddad</t>
  </si>
  <si>
    <t>+91 11394 18341</t>
  </si>
  <si>
    <t>REGION_STD; STATUS_STD; EMAIL_MISSING</t>
  </si>
  <si>
    <t>EMB-070</t>
  </si>
  <si>
    <t>Peru</t>
  </si>
  <si>
    <t>Mei Costa</t>
  </si>
  <si>
    <t>mei.costa@peru.embassy.example</t>
  </si>
  <si>
    <t>+91 93787 76040</t>
  </si>
  <si>
    <t>INTERACTIONS_NEG; INTERACTIONS_MISSING</t>
  </si>
  <si>
    <t>EMB-071</t>
  </si>
  <si>
    <t>Cuba</t>
  </si>
  <si>
    <t>amara.kim@cuba.embassy.example</t>
  </si>
  <si>
    <t>+91 11776 60471</t>
  </si>
  <si>
    <t>REGION_FILLED; DATE_TEXT</t>
  </si>
  <si>
    <t>EMB-072</t>
  </si>
  <si>
    <t>Venezuela</t>
  </si>
  <si>
    <t>Omar Schmidt</t>
  </si>
  <si>
    <t>omar.schmidt@venezuela.embassy.example</t>
  </si>
  <si>
    <t>+91 11892 68771</t>
  </si>
  <si>
    <t>EMB-073</t>
  </si>
  <si>
    <t>Ecuador</t>
  </si>
  <si>
    <t>Diego Rossi</t>
  </si>
  <si>
    <t>diego.rossi@ecuador.embassy.example</t>
  </si>
  <si>
    <t>+91 11589 65164</t>
  </si>
  <si>
    <t>Guyana</t>
  </si>
  <si>
    <t>elena.rossi@guyana.embassy.example</t>
  </si>
  <si>
    <t>PHONE_MISSING; STATUS_CONFLICT</t>
  </si>
  <si>
    <t>EMB-075</t>
  </si>
  <si>
    <t>Panama</t>
  </si>
  <si>
    <t>Hiroshi Hassan</t>
  </si>
  <si>
    <t>hiroshi.hassan@panama.embassy.example</t>
  </si>
  <si>
    <t>+91 96929 84427</t>
  </si>
  <si>
    <t>EMB-076</t>
  </si>
  <si>
    <t>Uruguay</t>
  </si>
  <si>
    <t>Pavel Larsen</t>
  </si>
  <si>
    <t>pavel.larsen@uruguay.embassy.example</t>
  </si>
  <si>
    <t>PHONE_MISSING; ENG_MISSING</t>
  </si>
  <si>
    <t>EMB-077</t>
  </si>
  <si>
    <t>Bangladesh</t>
  </si>
  <si>
    <t>South &amp; Central Asia</t>
  </si>
  <si>
    <t>Carla Hassan</t>
  </si>
  <si>
    <t>carla.hassan@bangladesh.embassy.example</t>
  </si>
  <si>
    <t>PHONE_MISSING; FOLLOWUP_MISSING; INTERACTIONS_MISSING</t>
  </si>
  <si>
    <t>Sri Lanka</t>
  </si>
  <si>
    <t>Fatima Kim</t>
  </si>
  <si>
    <t>fatima.kim@srilanka.embassy.example</t>
  </si>
  <si>
    <t>+91 11702 95292</t>
  </si>
  <si>
    <t>DATE_ORDER; DATE_FUTURE_FIRST</t>
  </si>
  <si>
    <t>EMB-079</t>
  </si>
  <si>
    <t>Nepal</t>
  </si>
  <si>
    <t>Sofia Rossi</t>
  </si>
  <si>
    <t>+91 91145 94609</t>
  </si>
  <si>
    <t>DATE_TEXT; EMAIL_MISSING</t>
  </si>
  <si>
    <t>EMB-080</t>
  </si>
  <si>
    <t>Bhutan</t>
  </si>
  <si>
    <t>Kwame Garcia</t>
  </si>
  <si>
    <t>kwame.garcia@bhutan.embassy.example</t>
  </si>
  <si>
    <t>+91 11808 37819</t>
  </si>
  <si>
    <t>EMB-081</t>
  </si>
  <si>
    <t>Maldives</t>
  </si>
  <si>
    <t>Pavel Costa</t>
  </si>
  <si>
    <t>+91 11721 02549</t>
  </si>
  <si>
    <t>EMB-082</t>
  </si>
  <si>
    <t>Kazakhstan</t>
  </si>
  <si>
    <t>Amara Alvarez</t>
  </si>
  <si>
    <t>amara.alvarez@kazakhstan.embassy.example</t>
  </si>
  <si>
    <t>+91 99516 85424</t>
  </si>
  <si>
    <t>REGION_REVIEW; DATE_TEXT</t>
  </si>
  <si>
    <t>EMB-083</t>
  </si>
  <si>
    <t>Uzbekistan</t>
  </si>
  <si>
    <t>Andrei Haddad</t>
  </si>
  <si>
    <t>andrei.haddad@uzbekistan.embassy.example</t>
  </si>
  <si>
    <t>+91 96340 56135</t>
  </si>
  <si>
    <t>EMB-084</t>
  </si>
  <si>
    <t>Afghanistan</t>
  </si>
  <si>
    <t>Fatima Zhang</t>
  </si>
  <si>
    <t>fatima.zhang@afghanistan.embassy.example</t>
  </si>
  <si>
    <t>PHONE_MISSING</t>
  </si>
  <si>
    <t>Source_Row (Raw_Data)</t>
  </si>
  <si>
    <t>Reason removed</t>
  </si>
  <si>
    <t>Exact duplicate of an earlier row (same ID, country, contact)</t>
  </si>
  <si>
    <t>Initial Contact Made</t>
  </si>
  <si>
    <t>EMB-094</t>
  </si>
  <si>
    <t>Pedro Nguyen</t>
  </si>
  <si>
    <t>Near-duplicate: same country, email, dates and counts as an earlier record under a different ID/contact</t>
  </si>
  <si>
    <t>EMB-095</t>
  </si>
  <si>
    <t>Tariq Kim</t>
  </si>
  <si>
    <t>EMB-096</t>
  </si>
  <si>
    <t>GHANA</t>
  </si>
  <si>
    <t>Aisha Zhang</t>
  </si>
  <si>
    <t>Cleaning Log - every change made between Raw_Data and Clean_Data</t>
  </si>
  <si>
    <t>Flag code</t>
  </si>
  <si>
    <t>Action taken</t>
  </si>
  <si>
    <t>Rows affected</t>
  </si>
  <si>
    <t>(removed)</t>
  </si>
  <si>
    <t>All</t>
  </si>
  <si>
    <t>Exact duplicate rows (EMB-010, 037, 051, 066) and near-duplicates (Mexico, Ghana, Singapore re-entered under new IDs/contacts)</t>
  </si>
  <si>
    <t>Removed from Clean_Data, listed on Removed_Rows; original record kept</t>
  </si>
  <si>
    <t>Original record of a country that had a near-duplicate - contact needs confirming with the owner</t>
  </si>
  <si>
    <t>Kept; flagged for review</t>
  </si>
  <si>
    <t>ID_INFERRED</t>
  </si>
  <si>
    <t>Missing ID (Senegal, USA)</t>
  </si>
  <si>
    <t>Filled from the ID sequence (EMB-060, EMB-063); to be confirmed</t>
  </si>
  <si>
    <t>Case / spacing (" Germany", "france", "GHANA")</t>
  </si>
  <si>
    <t>Trimmed and title-cased</t>
  </si>
  <si>
    <t>Variant spellings (europe, Sub Saharan Africa, N. America, MENA)</t>
  </si>
  <si>
    <t>Mapped to 6 standard regions</t>
  </si>
  <si>
    <t>Blank region</t>
  </si>
  <si>
    <t>Filled from country (Italy, Greece -&gt; Europe; Japan -&gt; Asia-Pacific; Israel -&gt; MENA; Cuba -&gt; Americas)</t>
  </si>
  <si>
    <t>REGION_REVIEW</t>
  </si>
  <si>
    <t>Kazakhstan sits in Asia-Pacific while other Central Asian states are in South &amp; Central Asia</t>
  </si>
  <si>
    <t>Left as recorded; flagged for a regional-mapping decision</t>
  </si>
  <si>
    <t>15 spellings for 7 statuses (Hold / On Hold, Initial Contact Made, lower-case)</t>
  </si>
  <si>
    <t>Standardised to: Not Started, Initial Contact, In Discussion, Meeting Scheduled, Engaged, On Hold, Closed</t>
  </si>
  <si>
    <t>Dates</t>
  </si>
  <si>
    <t>Dates stored as text (dd/mm/yyyy or yyyy-mm-dd)</t>
  </si>
  <si>
    <t>Converted to real dates (dd/mm/yyyy read as day-first)</t>
  </si>
  <si>
    <t>Last contact earlier than first contact</t>
  </si>
  <si>
    <t>Kept as recorded; flagged (needs source check)</t>
  </si>
  <si>
    <t>DATE_FUTURE_FIRST</t>
  </si>
  <si>
    <t>First contact date later than the as-of date</t>
  </si>
  <si>
    <t>Kept; flagged</t>
  </si>
  <si>
    <t>DATE_FUTURE_LAST</t>
  </si>
  <si>
    <t>Last contact date later than the as-of date (e.g. 01-Jan-2027)</t>
  </si>
  <si>
    <t>Kept; Days_Since_Last_Contact left blank for these; flagged</t>
  </si>
  <si>
    <t>FOLLOWUP_BEFORE_LAST</t>
  </si>
  <si>
    <t>Next follow-up date earlier than last contact date</t>
  </si>
  <si>
    <t>INTERACTIONS_NEG</t>
  </si>
  <si>
    <t>Negative interaction count (-3)</t>
  </si>
  <si>
    <t>Set to blank (true value unknown); flagged</t>
  </si>
  <si>
    <t>Blank interaction count on an active embassy</t>
  </si>
  <si>
    <t>Left blank (not assumed to be 0); flagged</t>
  </si>
  <si>
    <t>Status vs activity</t>
  </si>
  <si>
    <t>Not Started with recorded contact/interactions, or an active status with 0 interactions</t>
  </si>
  <si>
    <t>Kept as recorded; flagged for owner confirmation</t>
  </si>
  <si>
    <t>No owner assigned</t>
  </si>
  <si>
    <t>Labelled "Unassigned"</t>
  </si>
  <si>
    <t>Blank on an embassy where outreach has begun</t>
  </si>
  <si>
    <t>Labelled "Not Recorded" (blank on Not Started rows = "N/A (Not Started)")</t>
  </si>
  <si>
    <t>CHANNEL_MISSING</t>
  </si>
  <si>
    <t>Labelled "Not Recorded"</t>
  </si>
  <si>
    <t>Left blank; flagged</t>
  </si>
  <si>
    <t>Blank email</t>
  </si>
  <si>
    <t>Flagged (Email_Valid = Missing)</t>
  </si>
  <si>
    <t>Malformed email (missing @ or domain)</t>
  </si>
  <si>
    <t>Original text kept; flagged (Email_Valid = No)</t>
  </si>
  <si>
    <t>Blank phone</t>
  </si>
  <si>
    <t>Flagged (Phone_Valid = Missing)</t>
  </si>
  <si>
    <t>Too few digits / incomplete number</t>
  </si>
  <si>
    <t>Cleared in Phone_Clean; flagged. Valid numbers reformatted to +91 XXXXX XXXXX</t>
  </si>
  <si>
    <t>Note: a row can carry several flags, so counts overlap and do not add up to a row total.</t>
  </si>
  <si>
    <t>france</t>
  </si>
  <si>
    <t xml:space="preserve"> Germany</t>
  </si>
  <si>
    <t>+911181707536</t>
  </si>
  <si>
    <t>+91 11 2698 7168</t>
  </si>
  <si>
    <t>+91 11 3731 7784</t>
  </si>
  <si>
    <t>+91 11 8193 3190</t>
  </si>
  <si>
    <t xml:space="preserve">not started </t>
  </si>
  <si>
    <t>+91 11 4997 2837</t>
  </si>
  <si>
    <t>+91 11 4475 1779</t>
  </si>
  <si>
    <t>+91 11 7028 3</t>
  </si>
  <si>
    <t>2025-08-22</t>
  </si>
  <si>
    <t>+91 11 8145 2441</t>
  </si>
  <si>
    <t>+91 11 5158 4645</t>
  </si>
  <si>
    <t>+91 11 4940 6925</t>
  </si>
  <si>
    <t>europe</t>
  </si>
  <si>
    <t>+91 11 2668 8281</t>
  </si>
  <si>
    <t>+91 11 6324 4845</t>
  </si>
  <si>
    <t>+91 11 2174 4325</t>
  </si>
  <si>
    <t xml:space="preserve">Japan </t>
  </si>
  <si>
    <t>+91 11 6264 5154</t>
  </si>
  <si>
    <t>+91 11 3784 9518</t>
  </si>
  <si>
    <t>+91 11 7837 5555</t>
  </si>
  <si>
    <t xml:space="preserve">  Nadia Tanaka </t>
  </si>
  <si>
    <t>+91 91884 79</t>
  </si>
  <si>
    <t>+91 11 3688 2834</t>
  </si>
  <si>
    <t>+91 11 7044 2248</t>
  </si>
  <si>
    <t>+91 11 4280 7001</t>
  </si>
  <si>
    <t>+91 11 8166 3233</t>
  </si>
  <si>
    <t>+91 11 2592 1236</t>
  </si>
  <si>
    <t>On hold</t>
  </si>
  <si>
    <t>+91 11 7908 5417</t>
  </si>
  <si>
    <t>+91 11 8197 9678</t>
  </si>
  <si>
    <t>in discussion</t>
  </si>
  <si>
    <t>14/09/2026</t>
  </si>
  <si>
    <t>+91 11 8391 8276</t>
  </si>
  <si>
    <t>+91 11 5805 7803</t>
  </si>
  <si>
    <t>Hold</t>
  </si>
  <si>
    <t>MENA</t>
  </si>
  <si>
    <t>+91 11 8085 3867</t>
  </si>
  <si>
    <t>+91 11 2298 3725</t>
  </si>
  <si>
    <t>+91 11 2135 7164</t>
  </si>
  <si>
    <t>engaged</t>
  </si>
  <si>
    <t>1157094098</t>
  </si>
  <si>
    <t>2026-05-27</t>
  </si>
  <si>
    <t>+91 11 4011 5276</t>
  </si>
  <si>
    <t>+911177617</t>
  </si>
  <si>
    <t>+91-9351619945</t>
  </si>
  <si>
    <t>+91 11 4844 4193</t>
  </si>
  <si>
    <t>+91 11 5505 6547</t>
  </si>
  <si>
    <t>+91 11 3205 9871</t>
  </si>
  <si>
    <t>Sub Saharan Africa</t>
  </si>
  <si>
    <t>+91 11 7789 2352</t>
  </si>
  <si>
    <t>2025-02-15</t>
  </si>
  <si>
    <t>+91 11 6137 8522</t>
  </si>
  <si>
    <t>+911176175442</t>
  </si>
  <si>
    <t>+91 11 7514 1363</t>
  </si>
  <si>
    <t>meeting scheduled</t>
  </si>
  <si>
    <t xml:space="preserve">  Chen Khalil </t>
  </si>
  <si>
    <t>+91 11 3057 0304</t>
  </si>
  <si>
    <t>N. America</t>
  </si>
  <si>
    <t xml:space="preserve">  Diego Mensah </t>
  </si>
  <si>
    <t>+91 11 3662 8290</t>
  </si>
  <si>
    <t>+91 95060 18</t>
  </si>
  <si>
    <t xml:space="preserve">  Amara Kim </t>
  </si>
  <si>
    <t>+91 11 8276 0821</t>
  </si>
  <si>
    <t>+91 11 3746 5501</t>
  </si>
  <si>
    <t>+91 11 6509 8680</t>
  </si>
  <si>
    <t>+91 11 3941 8341</t>
  </si>
  <si>
    <t>closed</t>
  </si>
  <si>
    <t>+91-9378776040</t>
  </si>
  <si>
    <t>+91 11 7766 0471</t>
  </si>
  <si>
    <t>24/07/2026</t>
  </si>
  <si>
    <t>+91 11 8926 8771</t>
  </si>
  <si>
    <t>+91 11 5896 5164</t>
  </si>
  <si>
    <t>+91 11 7029 5292</t>
  </si>
  <si>
    <t>+91 11 8083 7819</t>
  </si>
  <si>
    <t>+91 11 7210 2549</t>
  </si>
  <si>
    <t>02/07/2025</t>
  </si>
  <si>
    <t xml:space="preserve">  Amara Alvarez </t>
  </si>
  <si>
    <t>16/09/2026</t>
  </si>
  <si>
    <t>+91-9634056135</t>
  </si>
  <si>
    <t xml:space="preserve">Mexico </t>
  </si>
  <si>
    <t>Duplicate entry? contact updated</t>
  </si>
  <si>
    <t>Dash_Calc - supporting calculations for the Dashboard (all formulas; driven by Clean_Data + Settings)</t>
  </si>
  <si>
    <t>Active (1/0)</t>
  </si>
  <si>
    <t>Overdue_Active (1/0)</t>
  </si>
  <si>
    <t>Silent (1/0)</t>
  </si>
  <si>
    <t>Priority key</t>
  </si>
  <si>
    <t>Silent key</t>
  </si>
  <si>
    <t>Needs review (1/0)</t>
  </si>
  <si>
    <t>Date issue (1/0)</t>
  </si>
  <si>
    <t>Definitions: Active = status in Initial Contact / In Discussion / Meeting Scheduled / Engaged (see "Active?" column below, editable). Overdue = active embassy whose Next_Followup_Date is before the as-of date. Silent = active embassy with no contact for more than the Settings threshold.</t>
  </si>
  <si>
    <t>1. Pipeline by status</t>
  </si>
  <si>
    <t>% of total</t>
  </si>
  <si>
    <t>Active? (1/0)</t>
  </si>
  <si>
    <t>Total</t>
  </si>
  <si>
    <t>Blue-on-yellow cells in "Active?" are inputs: change a 1/0 to redefine "active" and the whole dashboard follows.</t>
  </si>
  <si>
    <t>2. Region scorecard</t>
  </si>
  <si>
    <t>Engaged % of embassies</t>
  </si>
  <si>
    <t>Overdue % of active</t>
  </si>
  <si>
    <t>Silent (active)</t>
  </si>
  <si>
    <t>3. Owner workload</t>
  </si>
  <si>
    <t>4. Region x status (embassy counts)</t>
  </si>
  <si>
    <t>5. Engagement level by region (embassies where outreach has started)</t>
  </si>
  <si>
    <t>6. Channel mix (embassies where outreach has started)</t>
  </si>
  <si>
    <t>7. Attention lists (top 10, ranked live with LARGE / MATCH)</t>
  </si>
  <si>
    <t>Rank</t>
  </si>
  <si>
    <t>Overdue key</t>
  </si>
  <si>
    <t>Row idx</t>
  </si>
  <si>
    <t>Days since contact</t>
  </si>
  <si>
    <t>8. Data quality snapshot</t>
  </si>
  <si>
    <t>Embassies with no owner assigned</t>
  </si>
  <si>
    <t>Email missing or invalid</t>
  </si>
  <si>
    <t>Phone missing or invalid</t>
  </si>
  <si>
    <t>Status conflicts with recorded activity</t>
  </si>
  <si>
    <t>Date anomalies (order / future / follow-up before contact)</t>
  </si>
  <si>
    <t>Active embassy with no follow-up scheduled</t>
  </si>
  <si>
    <t>Engagement level not recorded (outreach started)</t>
  </si>
  <si>
    <t>Interaction count missing or negative</t>
  </si>
  <si>
    <t>Near-duplicate records kept for confirmation</t>
  </si>
  <si>
    <t>Records needing at least one review action</t>
  </si>
  <si>
    <t>Duplicate rows removed during cleaning (see Removed_Rows)</t>
  </si>
  <si>
    <t>"Needs review" counts any record with a data-gap / conflict flag; cosmetic fixes already applied (case, spelling, text-dates, region fill) are excluded.</t>
  </si>
  <si>
    <t>9. Headline KPIs</t>
  </si>
  <si>
    <t>Embassies tracked</t>
  </si>
  <si>
    <t>Active outreach</t>
  </si>
  <si>
    <t>Not started</t>
  </si>
  <si>
    <t>Overdue follow-ups (active)</t>
  </si>
  <si>
    <t>Silent active (&gt; threshold)</t>
  </si>
  <si>
    <t>High engagement</t>
  </si>
  <si>
    <t>Records needing review</t>
  </si>
  <si>
    <t>Regions</t>
  </si>
  <si>
    <t>~ Reporting date for overdue / silent calculations. Set to the date of the review meeting; everything recalculates.</t>
  </si>
  <si>
    <t>~ An active embassy with no contact for more than this many days is flagged "silent".</t>
  </si>
  <si>
    <t>As-of date:</t>
  </si>
  <si>
    <t>Silent threshold (days):</t>
  </si>
  <si>
    <t>Clean_Data = analysis table (84 rows).</t>
  </si>
  <si>
    <t>Removed_Rows = 7 duplicates excluded.</t>
  </si>
  <si>
    <t xml:space="preserve">Raw_Data = untouched original.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</si>
</sst>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34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26"/>
      <color rgb="FF1F3864"/>
      <name val="Arial"/>
      <charset val="1"/>
    </font>
    <font>
      <b/>
      <sz val="26"/>
      <color rgb="FF2F5597"/>
      <name val="Arial"/>
      <charset val="1"/>
    </font>
    <font>
      <b/>
      <sz val="26"/>
      <color rgb="FF548235"/>
      <name val="Arial"/>
      <charset val="1"/>
    </font>
    <font>
      <b/>
      <sz val="26"/>
      <color rgb="FF7F7F7F"/>
      <name val="Arial"/>
      <charset val="1"/>
    </font>
    <font>
      <b/>
      <sz val="26"/>
      <color rgb="FFC00000"/>
      <name val="Arial"/>
      <charset val="1"/>
    </font>
    <font>
      <b/>
      <sz val="26"/>
      <color rgb="FFED7D31"/>
      <name val="Arial"/>
      <charset val="1"/>
    </font>
    <font>
      <b/>
      <sz val="26"/>
      <color rgb="FF7030A0"/>
      <name val="Arial"/>
      <charset val="1"/>
    </font>
    <font>
      <sz val="8"/>
      <color rgb="FF595959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C00000"/>
      <name val="Arial"/>
      <charset val="1"/>
    </font>
    <font>
      <b/>
      <sz val="10"/>
      <color rgb="FF9C5700"/>
      <name val="Arial"/>
      <charset val="1"/>
    </font>
    <font>
      <sz val="9"/>
      <color rgb="FF7F7F7F"/>
      <name val="Arial"/>
      <charset val="1"/>
    </font>
    <font>
      <sz val="9"/>
      <color rgb="FF000000"/>
      <name val="Arial"/>
      <charset val="1"/>
    </font>
    <font>
      <sz val="9"/>
      <color rgb="FF404040"/>
      <name val="Arial"/>
      <charset val="1"/>
    </font>
    <font>
      <b/>
      <sz val="9"/>
      <color rgb="FF000000"/>
      <name val="Arial"/>
      <charset val="1"/>
    </font>
    <font>
      <i/>
      <sz val="8"/>
      <color rgb="FF7F7F7F"/>
      <name val="Arial"/>
      <charset val="1"/>
    </font>
    <font>
      <i/>
      <sz val="9"/>
      <color rgb="FF595959"/>
      <name val="Arial"/>
      <charset val="1"/>
    </font>
    <font>
      <i/>
      <sz val="8"/>
      <color rgb="FF595959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2"/>
      <color rgb="FF1F3864"/>
      <name val="Arial"/>
      <charset val="1"/>
    </font>
    <font>
      <sz val="8"/>
      <color rgb="FF7F7F7F"/>
      <name val="Arial"/>
      <charset val="1"/>
    </font>
    <font>
      <b/>
      <sz val="11"/>
      <color rgb="FF1F3864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F5597"/>
        <bgColor rgb="FF2E75B6"/>
      </patternFill>
    </fill>
    <fill>
      <patternFill patternType="solid">
        <fgColor rgb="FF548235"/>
        <bgColor rgb="FF595959"/>
      </patternFill>
    </fill>
    <fill>
      <patternFill patternType="solid">
        <fgColor rgb="FF7F7F7F"/>
        <bgColor rgb="FF8497B0"/>
      </patternFill>
    </fill>
    <fill>
      <patternFill patternType="solid">
        <fgColor rgb="FFC00000"/>
        <bgColor rgb="FF9C0006"/>
      </patternFill>
    </fill>
    <fill>
      <patternFill patternType="solid">
        <fgColor rgb="FFED7D31"/>
        <bgColor rgb="FFBF8F00"/>
      </patternFill>
    </fill>
    <fill>
      <patternFill patternType="solid">
        <fgColor rgb="FF7030A0"/>
        <bgColor rgb="FF993366"/>
      </patternFill>
    </fill>
    <fill>
      <patternFill patternType="solid">
        <fgColor rgb="FFF2F2F2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DCE6F2"/>
        <bgColor rgb="FFE7E6E6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F7F9FC"/>
        <bgColor rgb="FFFFFFFF"/>
      </patternFill>
    </fill>
    <fill>
      <patternFill patternType="solid">
        <fgColor rgb="FFFFFF99"/>
        <bgColor rgb="FFFFEB9C"/>
      </patternFill>
    </fill>
    <fill>
      <patternFill patternType="solid">
        <fgColor rgb="FFE2EFDA"/>
        <bgColor rgb="FFE7E6E6"/>
      </patternFill>
    </fill>
    <fill>
      <patternFill patternType="solid">
        <fgColor rgb="FF8497B0"/>
        <bgColor rgb="FF999999"/>
      </patternFill>
    </fill>
    <fill>
      <patternFill patternType="solid">
        <fgColor rgb="FFFFFF00"/>
        <bgColor rgb="FFFFEB9C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/>
      <right/>
      <top/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hair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8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14" fillId="2" borderId="3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/>
    </xf>
    <xf numFmtId="9" fontId="13" fillId="10" borderId="3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9" fontId="15" fillId="11" borderId="3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3" fillId="0" borderId="3" xfId="0" applyFont="1" applyBorder="1" applyAlignment="1">
      <alignment horizontal="left" vertical="center" indent="1"/>
    </xf>
    <xf numFmtId="0" fontId="15" fillId="0" borderId="3" xfId="0" applyFont="1" applyBorder="1" applyAlignment="1">
      <alignment horizontal="center"/>
    </xf>
    <xf numFmtId="0" fontId="13" fillId="10" borderId="3" xfId="0" applyFont="1" applyFill="1" applyBorder="1" applyAlignment="1">
      <alignment horizontal="center"/>
    </xf>
    <xf numFmtId="9" fontId="13" fillId="10" borderId="3" xfId="0" applyNumberFormat="1" applyFont="1" applyFill="1" applyBorder="1" applyAlignment="1">
      <alignment horizontal="center"/>
    </xf>
    <xf numFmtId="0" fontId="15" fillId="11" borderId="3" xfId="0" applyFont="1" applyFill="1" applyBorder="1" applyAlignment="1">
      <alignment horizontal="center"/>
    </xf>
    <xf numFmtId="9" fontId="15" fillId="11" borderId="3" xfId="0" applyNumberFormat="1" applyFont="1" applyFill="1" applyBorder="1" applyAlignment="1">
      <alignment horizontal="center"/>
    </xf>
    <xf numFmtId="1" fontId="13" fillId="0" borderId="3" xfId="0" applyNumberFormat="1" applyFont="1" applyBorder="1" applyAlignment="1">
      <alignment horizontal="center" vertical="center"/>
    </xf>
    <xf numFmtId="9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top" wrapText="1"/>
    </xf>
    <xf numFmtId="0" fontId="19" fillId="0" borderId="3" xfId="0" applyFont="1" applyBorder="1" applyAlignment="1">
      <alignment vertical="top" wrapText="1"/>
    </xf>
    <xf numFmtId="9" fontId="13" fillId="0" borderId="3" xfId="0" applyNumberFormat="1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3" fillId="14" borderId="3" xfId="0" applyFont="1" applyFill="1" applyBorder="1" applyAlignment="1">
      <alignment horizontal="center" vertical="top" wrapText="1"/>
    </xf>
    <xf numFmtId="0" fontId="19" fillId="14" borderId="3" xfId="0" applyFont="1" applyFill="1" applyBorder="1" applyAlignment="1">
      <alignment vertical="top" wrapText="1"/>
    </xf>
    <xf numFmtId="9" fontId="13" fillId="14" borderId="3" xfId="0" applyNumberFormat="1" applyFont="1" applyFill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/>
    </xf>
    <xf numFmtId="0" fontId="19" fillId="14" borderId="3" xfId="0" applyFont="1" applyFill="1" applyBorder="1" applyAlignment="1">
      <alignment horizontal="center" vertical="top" wrapText="1"/>
    </xf>
    <xf numFmtId="0" fontId="19" fillId="14" borderId="3" xfId="0" applyFont="1" applyFill="1" applyBorder="1" applyAlignment="1">
      <alignment horizontal="center" vertical="top"/>
    </xf>
    <xf numFmtId="0" fontId="0" fillId="0" borderId="0" xfId="0" applyAlignment="1"/>
    <xf numFmtId="0" fontId="25" fillId="0" borderId="0" xfId="0" applyFont="1" applyAlignment="1"/>
    <xf numFmtId="0" fontId="26" fillId="0" borderId="0" xfId="0" applyFont="1" applyAlignment="1"/>
    <xf numFmtId="0" fontId="28" fillId="0" borderId="0" xfId="0" applyFont="1" applyAlignment="1"/>
    <xf numFmtId="0" fontId="27" fillId="0" borderId="0" xfId="0" applyFont="1" applyAlignment="1"/>
    <xf numFmtId="0" fontId="29" fillId="0" borderId="0" xfId="0" applyFont="1" applyAlignment="1"/>
    <xf numFmtId="0" fontId="30" fillId="2" borderId="5" xfId="0" applyFont="1" applyFill="1" applyBorder="1" applyAlignment="1">
      <alignment horizontal="center" vertical="center" wrapText="1"/>
    </xf>
    <xf numFmtId="0" fontId="30" fillId="4" borderId="5" xfId="0" applyFont="1" applyFill="1" applyBorder="1" applyAlignment="1">
      <alignment horizontal="center" vertical="center" wrapText="1"/>
    </xf>
    <xf numFmtId="0" fontId="29" fillId="0" borderId="5" xfId="0" applyFont="1" applyBorder="1" applyAlignment="1"/>
    <xf numFmtId="164" fontId="29" fillId="0" borderId="5" xfId="0" applyNumberFormat="1" applyFont="1" applyBorder="1" applyAlignment="1"/>
    <xf numFmtId="0" fontId="29" fillId="16" borderId="5" xfId="0" applyFont="1" applyFill="1" applyBorder="1" applyAlignment="1">
      <alignment horizontal="center"/>
    </xf>
    <xf numFmtId="0" fontId="29" fillId="0" borderId="5" xfId="0" applyFont="1" applyBorder="1" applyAlignment="1">
      <alignment vertical="top" wrapText="1"/>
    </xf>
    <xf numFmtId="0" fontId="29" fillId="0" borderId="5" xfId="0" applyFont="1" applyBorder="1" applyAlignment="1">
      <alignment horizontal="center" vertical="top"/>
    </xf>
    <xf numFmtId="0" fontId="12" fillId="2" borderId="0" xfId="0" applyFont="1" applyFill="1" applyAlignment="1">
      <alignment horizontal="center" wrapText="1"/>
    </xf>
    <xf numFmtId="164" fontId="29" fillId="0" borderId="0" xfId="0" applyNumberFormat="1" applyFont="1" applyAlignment="1"/>
    <xf numFmtId="0" fontId="31" fillId="0" borderId="0" xfId="0" applyFont="1"/>
    <xf numFmtId="0" fontId="14" fillId="17" borderId="0" xfId="0" applyFont="1" applyFill="1" applyAlignment="1">
      <alignment wrapText="1"/>
    </xf>
    <xf numFmtId="0" fontId="23" fillId="0" borderId="0" xfId="0" applyFont="1"/>
    <xf numFmtId="0" fontId="32" fillId="0" borderId="0" xfId="0" applyFont="1"/>
    <xf numFmtId="0" fontId="13" fillId="0" borderId="0" xfId="0" applyFont="1"/>
    <xf numFmtId="0" fontId="33" fillId="0" borderId="0" xfId="0" applyFont="1"/>
    <xf numFmtId="0" fontId="30" fillId="2" borderId="3" xfId="0" applyFont="1" applyFill="1" applyBorder="1" applyAlignment="1">
      <alignment horizontal="center" vertical="center" wrapText="1"/>
    </xf>
    <xf numFmtId="165" fontId="13" fillId="0" borderId="0" xfId="0" applyNumberFormat="1" applyFont="1"/>
    <xf numFmtId="0" fontId="27" fillId="15" borderId="0" xfId="0" applyFont="1" applyFill="1"/>
    <xf numFmtId="0" fontId="15" fillId="11" borderId="0" xfId="0" applyFont="1" applyFill="1"/>
    <xf numFmtId="165" fontId="15" fillId="11" borderId="0" xfId="0" applyNumberFormat="1" applyFont="1" applyFill="1"/>
    <xf numFmtId="0" fontId="24" fillId="0" borderId="0" xfId="0" applyFont="1"/>
    <xf numFmtId="0" fontId="30" fillId="0" borderId="0" xfId="0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left" vertical="center" indent="1"/>
    </xf>
    <xf numFmtId="0" fontId="13" fillId="10" borderId="2" xfId="0" applyFont="1" applyFill="1" applyBorder="1" applyAlignment="1">
      <alignment horizontal="left" vertical="center" wrapText="1" indent="1"/>
    </xf>
    <xf numFmtId="0" fontId="14" fillId="2" borderId="3" xfId="0" applyFont="1" applyFill="1" applyBorder="1" applyAlignment="1">
      <alignment horizontal="left" vertical="center" wrapText="1" indent="1"/>
    </xf>
    <xf numFmtId="0" fontId="13" fillId="10" borderId="3" xfId="0" applyFont="1" applyFill="1" applyBorder="1" applyAlignment="1">
      <alignment horizontal="left" vertical="center" indent="1"/>
    </xf>
    <xf numFmtId="0" fontId="15" fillId="11" borderId="3" xfId="0" applyFont="1" applyFill="1" applyBorder="1" applyAlignment="1">
      <alignment horizontal="left" vertical="center" indent="1"/>
    </xf>
    <xf numFmtId="0" fontId="16" fillId="12" borderId="0" xfId="0" applyFont="1" applyFill="1" applyBorder="1" applyAlignment="1">
      <alignment horizontal="left" vertical="center" indent="1"/>
    </xf>
    <xf numFmtId="0" fontId="17" fillId="13" borderId="0" xfId="0" applyFont="1" applyFill="1" applyBorder="1" applyAlignment="1">
      <alignment horizontal="left" vertical="center" indent="1"/>
    </xf>
    <xf numFmtId="0" fontId="14" fillId="2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left" vertical="center" indent="1"/>
    </xf>
    <xf numFmtId="0" fontId="14" fillId="2" borderId="3" xfId="0" applyFont="1" applyFill="1" applyBorder="1" applyAlignment="1">
      <alignment horizontal="left" vertical="center" indent="1"/>
    </xf>
    <xf numFmtId="0" fontId="19" fillId="10" borderId="3" xfId="0" applyFont="1" applyFill="1" applyBorder="1" applyAlignment="1">
      <alignment horizontal="left" vertical="center" indent="1"/>
    </xf>
    <xf numFmtId="0" fontId="20" fillId="9" borderId="4" xfId="0" applyFont="1" applyFill="1" applyBorder="1" applyAlignment="1">
      <alignment horizontal="left" vertical="center" wrapText="1" indent="1"/>
    </xf>
    <xf numFmtId="0" fontId="19" fillId="9" borderId="0" xfId="0" applyFont="1" applyFill="1" applyBorder="1"/>
    <xf numFmtId="0" fontId="21" fillId="11" borderId="3" xfId="0" applyFont="1" applyFill="1" applyBorder="1" applyAlignment="1">
      <alignment horizontal="left" vertical="center" indent="1"/>
    </xf>
    <xf numFmtId="0" fontId="22" fillId="0" borderId="0" xfId="0" applyFont="1" applyBorder="1" applyAlignment="1">
      <alignment horizontal="left"/>
    </xf>
    <xf numFmtId="0" fontId="13" fillId="0" borderId="2" xfId="0" applyFont="1" applyBorder="1" applyAlignment="1">
      <alignment vertical="center" wrapText="1" indent="1"/>
    </xf>
    <xf numFmtId="0" fontId="23" fillId="9" borderId="3" xfId="0" applyFont="1" applyFill="1" applyBorder="1" applyAlignment="1">
      <alignment vertical="top" wrapText="1" indent="1"/>
    </xf>
    <xf numFmtId="0" fontId="24" fillId="0" borderId="0" xfId="0" applyFont="1" applyBorder="1" applyAlignment="1">
      <alignment vertical="top" wrapText="1"/>
    </xf>
    <xf numFmtId="0" fontId="19" fillId="0" borderId="3" xfId="0" applyFont="1" applyBorder="1" applyAlignment="1">
      <alignment horizontal="center" vertical="top"/>
    </xf>
    <xf numFmtId="0" fontId="19" fillId="0" borderId="4" xfId="0" applyFont="1" applyBorder="1" applyAlignment="1">
      <alignment vertical="center" wrapText="1" indent="1"/>
    </xf>
    <xf numFmtId="164" fontId="27" fillId="18" borderId="0" xfId="0" applyNumberFormat="1" applyFont="1" applyFill="1" applyAlignment="1">
      <alignment horizontal="left" indent="2"/>
    </xf>
    <xf numFmtId="0" fontId="27" fillId="18" borderId="0" xfId="0" applyFont="1" applyFill="1" applyAlignment="1">
      <alignment horizontal="left" indent="5"/>
    </xf>
    <xf numFmtId="0" fontId="0" fillId="19" borderId="0" xfId="0" applyFill="1" applyAlignment="1"/>
    <xf numFmtId="0" fontId="0" fillId="20" borderId="0" xfId="0" applyFill="1" applyAlignment="1"/>
    <xf numFmtId="0" fontId="29" fillId="21" borderId="0" xfId="0" applyFont="1" applyFill="1" applyAlignment="1"/>
  </cellXfs>
  <cellStyles count="1">
    <cellStyle name="Normal" xfId="0" builtinId="0"/>
  </cellStyles>
  <dxfs count="10">
    <dxf>
      <fill>
        <patternFill>
          <bgColor rgb="FFFFF2CC"/>
        </patternFill>
      </fill>
    </dxf>
    <dxf>
      <font>
        <b/>
        <color rgb="FF375623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  <fill>
        <patternFill>
          <bgColor rgb="FFFBE5D6"/>
        </patternFill>
      </fill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  <fill>
        <patternFill>
          <bgColor rgb="FFFBE5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EB9C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7F7F7F"/>
      <rgbColor rgb="FF8497B0"/>
      <rgbColor rgb="FF7030A0"/>
      <rgbColor rgb="FFFFF2CC"/>
      <rgbColor rgb="FFE2EFDA"/>
      <rgbColor rgb="FF660066"/>
      <rgbColor rgb="FFE7E6E6"/>
      <rgbColor rgb="FF0066CC"/>
      <rgbColor rgb="FFD9D9D9"/>
      <rgbColor rgb="FF000080"/>
      <rgbColor rgb="FFFF00FF"/>
      <rgbColor rgb="FFFBE5D6"/>
      <rgbColor rgb="FF00FFFF"/>
      <rgbColor rgb="FF800080"/>
      <rgbColor rgb="FF800000"/>
      <rgbColor rgb="FF008080"/>
      <rgbColor rgb="FF0000FF"/>
      <rgbColor rgb="FF00CCFF"/>
      <rgbColor rgb="FFDCE6F2"/>
      <rgbColor rgb="FFC6EFCE"/>
      <rgbColor rgb="FFFFFF99"/>
      <rgbColor rgb="FF9DC3E6"/>
      <rgbColor rgb="FFA6A6A6"/>
      <rgbColor rgb="FFB3B3B3"/>
      <rgbColor rgb="FFFFC7CE"/>
      <rgbColor rgb="FF2E75B6"/>
      <rgbColor rgb="FFF7F9FC"/>
      <rgbColor rgb="FFF2F2F2"/>
      <rgbColor rgb="FFFFC000"/>
      <rgbColor rgb="FFBF8F00"/>
      <rgbColor rgb="FFED7D31"/>
      <rgbColor rgb="FF595959"/>
      <rgbColor rgb="FF999999"/>
      <rgbColor rgb="FF1F3864"/>
      <rgbColor rgb="FF5B9BD5"/>
      <rgbColor rgb="FF003300"/>
      <rgbColor rgb="FF375623"/>
      <rgbColor rgb="FF9C5700"/>
      <rgbColor rgb="FF993366"/>
      <rgbColor rgb="FF2F559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864"/>
                </a:solidFill>
                <a:latin typeface="Arial"/>
              </a:rPr>
              <a:t>Embassies by outreach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Dash_Calc!$B$6</c:f>
              <c:strCache>
                <c:ptCount val="1"/>
                <c:pt idx="0">
                  <c:v>Embassies</c:v>
                </c:pt>
              </c:strCache>
            </c:strRef>
          </c:tx>
          <c:spPr>
            <a:solidFill>
              <a:srgbClr val="2F5597"/>
            </a:solidFill>
            <a:ln w="936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A6A6A6"/>
              </a:solidFill>
              <a:ln w="9360">
                <a:noFill/>
              </a:ln>
            </c:spPr>
            <c:extLst>
              <c:ext xmlns:c16="http://schemas.microsoft.com/office/drawing/2014/chart" uri="{C3380CC4-5D6E-409C-BE32-E72D297353CC}">
                <c16:uniqueId val="{00000001-DA96-44F9-A540-BBE5A12E1E9E}"/>
              </c:ext>
            </c:extLst>
          </c:dPt>
          <c:dPt>
            <c:idx val="1"/>
            <c:invertIfNegative val="0"/>
            <c:bubble3D val="0"/>
            <c:spPr>
              <a:solidFill>
                <a:srgbClr val="9DC3E6"/>
              </a:solidFill>
              <a:ln w="9360">
                <a:noFill/>
              </a:ln>
            </c:spPr>
            <c:extLst>
              <c:ext xmlns:c16="http://schemas.microsoft.com/office/drawing/2014/chart" uri="{C3380CC4-5D6E-409C-BE32-E72D297353CC}">
                <c16:uniqueId val="{00000003-DA96-44F9-A540-BBE5A12E1E9E}"/>
              </c:ext>
            </c:extLst>
          </c:dPt>
          <c:dPt>
            <c:idx val="2"/>
            <c:invertIfNegative val="0"/>
            <c:bubble3D val="0"/>
            <c:spPr>
              <a:solidFill>
                <a:srgbClr val="5B9BD5"/>
              </a:solidFill>
              <a:ln w="9360">
                <a:noFill/>
              </a:ln>
            </c:spPr>
            <c:extLst>
              <c:ext xmlns:c16="http://schemas.microsoft.com/office/drawing/2014/chart" uri="{C3380CC4-5D6E-409C-BE32-E72D297353CC}">
                <c16:uniqueId val="{00000005-DA96-44F9-A540-BBE5A12E1E9E}"/>
              </c:ext>
            </c:extLst>
          </c:dPt>
          <c:dPt>
            <c:idx val="3"/>
            <c:invertIfNegative val="0"/>
            <c:bubble3D val="0"/>
            <c:spPr>
              <a:solidFill>
                <a:srgbClr val="2E75B6"/>
              </a:solidFill>
              <a:ln w="9360">
                <a:noFill/>
              </a:ln>
            </c:spPr>
            <c:extLst>
              <c:ext xmlns:c16="http://schemas.microsoft.com/office/drawing/2014/chart" uri="{C3380CC4-5D6E-409C-BE32-E72D297353CC}">
                <c16:uniqueId val="{00000007-DA96-44F9-A540-BBE5A12E1E9E}"/>
              </c:ext>
            </c:extLst>
          </c:dPt>
          <c:dPt>
            <c:idx val="4"/>
            <c:invertIfNegative val="0"/>
            <c:bubble3D val="0"/>
            <c:spPr>
              <a:solidFill>
                <a:srgbClr val="548235"/>
              </a:solidFill>
              <a:ln w="9360">
                <a:noFill/>
              </a:ln>
            </c:spPr>
            <c:extLst>
              <c:ext xmlns:c16="http://schemas.microsoft.com/office/drawing/2014/chart" uri="{C3380CC4-5D6E-409C-BE32-E72D297353CC}">
                <c16:uniqueId val="{00000009-DA96-44F9-A540-BBE5A12E1E9E}"/>
              </c:ext>
            </c:extLst>
          </c:dPt>
          <c:dPt>
            <c:idx val="5"/>
            <c:invertIfNegative val="0"/>
            <c:bubble3D val="0"/>
            <c:spPr>
              <a:solidFill>
                <a:srgbClr val="ED7D31"/>
              </a:solidFill>
              <a:ln w="9360">
                <a:noFill/>
              </a:ln>
            </c:spPr>
            <c:extLst>
              <c:ext xmlns:c16="http://schemas.microsoft.com/office/drawing/2014/chart" uri="{C3380CC4-5D6E-409C-BE32-E72D297353CC}">
                <c16:uniqueId val="{0000000B-DA96-44F9-A540-BBE5A12E1E9E}"/>
              </c:ext>
            </c:extLst>
          </c:dPt>
          <c:dPt>
            <c:idx val="6"/>
            <c:invertIfNegative val="0"/>
            <c:bubble3D val="0"/>
            <c:spPr>
              <a:solidFill>
                <a:srgbClr val="7F7F7F"/>
              </a:solidFill>
              <a:ln w="9360">
                <a:noFill/>
              </a:ln>
            </c:spPr>
            <c:extLst>
              <c:ext xmlns:c16="http://schemas.microsoft.com/office/drawing/2014/chart" uri="{C3380CC4-5D6E-409C-BE32-E72D297353CC}">
                <c16:uniqueId val="{0000000D-DA96-44F9-A540-BBE5A12E1E9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A96-44F9-A540-BBE5A12E1E9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A96-44F9-A540-BBE5A12E1E9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A96-44F9-A540-BBE5A12E1E9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DA96-44F9-A540-BBE5A12E1E9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DA96-44F9-A540-BBE5A12E1E9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DA96-44F9-A540-BBE5A12E1E9E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DA96-44F9-A540-BBE5A12E1E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Dash_Calc!$A$7:$A$13</c:f>
              <c:strCache>
                <c:ptCount val="7"/>
                <c:pt idx="0">
                  <c:v>Not Started</c:v>
                </c:pt>
                <c:pt idx="1">
                  <c:v>Initial Contact</c:v>
                </c:pt>
                <c:pt idx="2">
                  <c:v>In Discussion</c:v>
                </c:pt>
                <c:pt idx="3">
                  <c:v>Meeting Scheduled</c:v>
                </c:pt>
                <c:pt idx="4">
                  <c:v>Engaged</c:v>
                </c:pt>
                <c:pt idx="5">
                  <c:v>On Hold</c:v>
                </c:pt>
                <c:pt idx="6">
                  <c:v>Closed</c:v>
                </c:pt>
              </c:strCache>
            </c:strRef>
          </c:cat>
          <c:val>
            <c:numRef>
              <c:f>Dash_Calc!$B$7:$B$13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14</c:v>
                </c:pt>
                <c:pt idx="3">
                  <c:v>11</c:v>
                </c:pt>
                <c:pt idx="4">
                  <c:v>19</c:v>
                </c:pt>
                <c:pt idx="5">
                  <c:v>11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A96-44F9-A540-BBE5A12E1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93772927"/>
        <c:axId val="43546138"/>
      </c:barChart>
      <c:catAx>
        <c:axId val="937729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43546138"/>
        <c:crosses val="autoZero"/>
        <c:auto val="1"/>
        <c:lblAlgn val="ctr"/>
        <c:lblOffset val="100"/>
        <c:noMultiLvlLbl val="0"/>
      </c:catAx>
      <c:valAx>
        <c:axId val="43546138"/>
        <c:scaling>
          <c:orientation val="minMax"/>
          <c:min val="0"/>
        </c:scaling>
        <c:delete val="1"/>
        <c:axPos val="t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937729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864"/>
                </a:solidFill>
                <a:latin typeface="Arial"/>
              </a:rPr>
              <a:t>Status mix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Not Started</c:v>
          </c:tx>
          <c:spPr>
            <a:solidFill>
              <a:srgbClr val="A6A6A6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Dash_Calc!$A$40:$A$45</c:f>
              <c:strCache>
                <c:ptCount val="6"/>
                <c:pt idx="0">
                  <c:v>Europe</c:v>
                </c:pt>
                <c:pt idx="1">
                  <c:v>Asia-Pacific</c:v>
                </c:pt>
                <c:pt idx="2">
                  <c:v>Sub-Saharan Africa</c:v>
                </c:pt>
                <c:pt idx="3">
                  <c:v>Americas</c:v>
                </c:pt>
                <c:pt idx="4">
                  <c:v>Middle East &amp; North Africa</c:v>
                </c:pt>
                <c:pt idx="5">
                  <c:v>South &amp; Central Asia</c:v>
                </c:pt>
              </c:strCache>
            </c:strRef>
          </c:cat>
          <c:val>
            <c:numRef>
              <c:f>Dash_Calc!$B$40:$B$45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A-46DF-92A7-0F71B69FE1DB}"/>
            </c:ext>
          </c:extLst>
        </c:ser>
        <c:ser>
          <c:idx val="1"/>
          <c:order val="1"/>
          <c:tx>
            <c:v>Initial Contact</c:v>
          </c:tx>
          <c:spPr>
            <a:solidFill>
              <a:srgbClr val="9DC3E6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Dash_Calc!$A$40:$A$45</c:f>
              <c:strCache>
                <c:ptCount val="6"/>
                <c:pt idx="0">
                  <c:v>Europe</c:v>
                </c:pt>
                <c:pt idx="1">
                  <c:v>Asia-Pacific</c:v>
                </c:pt>
                <c:pt idx="2">
                  <c:v>Sub-Saharan Africa</c:v>
                </c:pt>
                <c:pt idx="3">
                  <c:v>Americas</c:v>
                </c:pt>
                <c:pt idx="4">
                  <c:v>Middle East &amp; North Africa</c:v>
                </c:pt>
                <c:pt idx="5">
                  <c:v>South &amp; Central Asia</c:v>
                </c:pt>
              </c:strCache>
            </c:strRef>
          </c:cat>
          <c:val>
            <c:numRef>
              <c:f>Dash_Calc!$C$40:$C$45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9A-46DF-92A7-0F71B69FE1DB}"/>
            </c:ext>
          </c:extLst>
        </c:ser>
        <c:ser>
          <c:idx val="2"/>
          <c:order val="2"/>
          <c:tx>
            <c:v>In Discussion</c:v>
          </c:tx>
          <c:spPr>
            <a:solidFill>
              <a:srgbClr val="5B9BD5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Dash_Calc!$A$40:$A$45</c:f>
              <c:strCache>
                <c:ptCount val="6"/>
                <c:pt idx="0">
                  <c:v>Europe</c:v>
                </c:pt>
                <c:pt idx="1">
                  <c:v>Asia-Pacific</c:v>
                </c:pt>
                <c:pt idx="2">
                  <c:v>Sub-Saharan Africa</c:v>
                </c:pt>
                <c:pt idx="3">
                  <c:v>Americas</c:v>
                </c:pt>
                <c:pt idx="4">
                  <c:v>Middle East &amp; North Africa</c:v>
                </c:pt>
                <c:pt idx="5">
                  <c:v>South &amp; Central Asia</c:v>
                </c:pt>
              </c:strCache>
            </c:strRef>
          </c:cat>
          <c:val>
            <c:numRef>
              <c:f>Dash_Calc!$D$40:$D$45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9A-46DF-92A7-0F71B69FE1DB}"/>
            </c:ext>
          </c:extLst>
        </c:ser>
        <c:ser>
          <c:idx val="3"/>
          <c:order val="3"/>
          <c:tx>
            <c:v>Meeting Scheduled</c:v>
          </c:tx>
          <c:spPr>
            <a:solidFill>
              <a:srgbClr val="2E75B6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Dash_Calc!$A$40:$A$45</c:f>
              <c:strCache>
                <c:ptCount val="6"/>
                <c:pt idx="0">
                  <c:v>Europe</c:v>
                </c:pt>
                <c:pt idx="1">
                  <c:v>Asia-Pacific</c:v>
                </c:pt>
                <c:pt idx="2">
                  <c:v>Sub-Saharan Africa</c:v>
                </c:pt>
                <c:pt idx="3">
                  <c:v>Americas</c:v>
                </c:pt>
                <c:pt idx="4">
                  <c:v>Middle East &amp; North Africa</c:v>
                </c:pt>
                <c:pt idx="5">
                  <c:v>South &amp; Central Asia</c:v>
                </c:pt>
              </c:strCache>
            </c:strRef>
          </c:cat>
          <c:val>
            <c:numRef>
              <c:f>Dash_Calc!$E$40:$E$45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9A-46DF-92A7-0F71B69FE1DB}"/>
            </c:ext>
          </c:extLst>
        </c:ser>
        <c:ser>
          <c:idx val="4"/>
          <c:order val="4"/>
          <c:tx>
            <c:v>Engaged</c:v>
          </c:tx>
          <c:spPr>
            <a:solidFill>
              <a:srgbClr val="548235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Dash_Calc!$A$40:$A$45</c:f>
              <c:strCache>
                <c:ptCount val="6"/>
                <c:pt idx="0">
                  <c:v>Europe</c:v>
                </c:pt>
                <c:pt idx="1">
                  <c:v>Asia-Pacific</c:v>
                </c:pt>
                <c:pt idx="2">
                  <c:v>Sub-Saharan Africa</c:v>
                </c:pt>
                <c:pt idx="3">
                  <c:v>Americas</c:v>
                </c:pt>
                <c:pt idx="4">
                  <c:v>Middle East &amp; North Africa</c:v>
                </c:pt>
                <c:pt idx="5">
                  <c:v>South &amp; Central Asia</c:v>
                </c:pt>
              </c:strCache>
            </c:strRef>
          </c:cat>
          <c:val>
            <c:numRef>
              <c:f>Dash_Calc!$F$40:$F$45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9A-46DF-92A7-0F71B69FE1DB}"/>
            </c:ext>
          </c:extLst>
        </c:ser>
        <c:ser>
          <c:idx val="5"/>
          <c:order val="5"/>
          <c:tx>
            <c:v>On Hold</c:v>
          </c:tx>
          <c:spPr>
            <a:solidFill>
              <a:srgbClr val="ED7D31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Dash_Calc!$A$40:$A$45</c:f>
              <c:strCache>
                <c:ptCount val="6"/>
                <c:pt idx="0">
                  <c:v>Europe</c:v>
                </c:pt>
                <c:pt idx="1">
                  <c:v>Asia-Pacific</c:v>
                </c:pt>
                <c:pt idx="2">
                  <c:v>Sub-Saharan Africa</c:v>
                </c:pt>
                <c:pt idx="3">
                  <c:v>Americas</c:v>
                </c:pt>
                <c:pt idx="4">
                  <c:v>Middle East &amp; North Africa</c:v>
                </c:pt>
                <c:pt idx="5">
                  <c:v>South &amp; Central Asia</c:v>
                </c:pt>
              </c:strCache>
            </c:strRef>
          </c:cat>
          <c:val>
            <c:numRef>
              <c:f>Dash_Calc!$G$40:$G$45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9A-46DF-92A7-0F71B69FE1DB}"/>
            </c:ext>
          </c:extLst>
        </c:ser>
        <c:ser>
          <c:idx val="6"/>
          <c:order val="6"/>
          <c:tx>
            <c:v>Closed</c:v>
          </c:tx>
          <c:spPr>
            <a:solidFill>
              <a:srgbClr val="7F7F7F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Dash_Calc!$A$40:$A$45</c:f>
              <c:strCache>
                <c:ptCount val="6"/>
                <c:pt idx="0">
                  <c:v>Europe</c:v>
                </c:pt>
                <c:pt idx="1">
                  <c:v>Asia-Pacific</c:v>
                </c:pt>
                <c:pt idx="2">
                  <c:v>Sub-Saharan Africa</c:v>
                </c:pt>
                <c:pt idx="3">
                  <c:v>Americas</c:v>
                </c:pt>
                <c:pt idx="4">
                  <c:v>Middle East &amp; North Africa</c:v>
                </c:pt>
                <c:pt idx="5">
                  <c:v>South &amp; Central Asia</c:v>
                </c:pt>
              </c:strCache>
            </c:strRef>
          </c:cat>
          <c:val>
            <c:numRef>
              <c:f>Dash_Calc!$H$40:$H$45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9A-46DF-92A7-0F71B69FE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7414740"/>
        <c:axId val="96589304"/>
      </c:barChart>
      <c:catAx>
        <c:axId val="874147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96589304"/>
        <c:crosses val="autoZero"/>
        <c:auto val="1"/>
        <c:lblAlgn val="ctr"/>
        <c:lblOffset val="100"/>
        <c:noMultiLvlLbl val="0"/>
      </c:catAx>
      <c:valAx>
        <c:axId val="96589304"/>
        <c:scaling>
          <c:orientation val="minMax"/>
        </c:scaling>
        <c:delete val="0"/>
        <c:axPos val="t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874147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864"/>
                </a:solidFill>
                <a:latin typeface="Arial"/>
              </a:rPr>
              <a:t>Engagement level by region (outreach started)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High</c:v>
          </c:tx>
          <c:spPr>
            <a:solidFill>
              <a:srgbClr val="548235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Dash_Calc!$A$50:$A$55</c:f>
              <c:strCache>
                <c:ptCount val="6"/>
                <c:pt idx="0">
                  <c:v>Europe</c:v>
                </c:pt>
                <c:pt idx="1">
                  <c:v>Asia-Pacific</c:v>
                </c:pt>
                <c:pt idx="2">
                  <c:v>Sub-Saharan Africa</c:v>
                </c:pt>
                <c:pt idx="3">
                  <c:v>Americas</c:v>
                </c:pt>
                <c:pt idx="4">
                  <c:v>Middle East &amp; North Africa</c:v>
                </c:pt>
                <c:pt idx="5">
                  <c:v>South &amp; Central Asia</c:v>
                </c:pt>
              </c:strCache>
            </c:strRef>
          </c:cat>
          <c:val>
            <c:numRef>
              <c:f>Dash_Calc!$B$50:$B$55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  <c:pt idx="4">
                  <c:v>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4-4586-8C68-007A130A836A}"/>
            </c:ext>
          </c:extLst>
        </c:ser>
        <c:ser>
          <c:idx val="1"/>
          <c:order val="1"/>
          <c:tx>
            <c:v>Medium</c:v>
          </c:tx>
          <c:spPr>
            <a:solidFill>
              <a:srgbClr val="FFC000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Dash_Calc!$A$50:$A$55</c:f>
              <c:strCache>
                <c:ptCount val="6"/>
                <c:pt idx="0">
                  <c:v>Europe</c:v>
                </c:pt>
                <c:pt idx="1">
                  <c:v>Asia-Pacific</c:v>
                </c:pt>
                <c:pt idx="2">
                  <c:v>Sub-Saharan Africa</c:v>
                </c:pt>
                <c:pt idx="3">
                  <c:v>Americas</c:v>
                </c:pt>
                <c:pt idx="4">
                  <c:v>Middle East &amp; North Africa</c:v>
                </c:pt>
                <c:pt idx="5">
                  <c:v>South &amp; Central Asia</c:v>
                </c:pt>
              </c:strCache>
            </c:strRef>
          </c:cat>
          <c:val>
            <c:numRef>
              <c:f>Dash_Calc!$C$50:$C$55</c:f>
              <c:numCache>
                <c:formatCode>General</c:formatCode>
                <c:ptCount val="6"/>
                <c:pt idx="0">
                  <c:v>7</c:v>
                </c:pt>
                <c:pt idx="1">
                  <c:v>6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F4-4586-8C68-007A130A836A}"/>
            </c:ext>
          </c:extLst>
        </c:ser>
        <c:ser>
          <c:idx val="2"/>
          <c:order val="2"/>
          <c:tx>
            <c:v>Low</c:v>
          </c:tx>
          <c:spPr>
            <a:solidFill>
              <a:srgbClr val="ED7D31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Dash_Calc!$A$50:$A$55</c:f>
              <c:strCache>
                <c:ptCount val="6"/>
                <c:pt idx="0">
                  <c:v>Europe</c:v>
                </c:pt>
                <c:pt idx="1">
                  <c:v>Asia-Pacific</c:v>
                </c:pt>
                <c:pt idx="2">
                  <c:v>Sub-Saharan Africa</c:v>
                </c:pt>
                <c:pt idx="3">
                  <c:v>Americas</c:v>
                </c:pt>
                <c:pt idx="4">
                  <c:v>Middle East &amp; North Africa</c:v>
                </c:pt>
                <c:pt idx="5">
                  <c:v>South &amp; Central Asia</c:v>
                </c:pt>
              </c:strCache>
            </c:strRef>
          </c:cat>
          <c:val>
            <c:numRef>
              <c:f>Dash_Calc!$D$50:$D$55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F4-4586-8C68-007A130A836A}"/>
            </c:ext>
          </c:extLst>
        </c:ser>
        <c:ser>
          <c:idx val="3"/>
          <c:order val="3"/>
          <c:tx>
            <c:v>Not Recorded</c:v>
          </c:tx>
          <c:spPr>
            <a:solidFill>
              <a:srgbClr val="BFBFBF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Dash_Calc!$A$50:$A$55</c:f>
              <c:strCache>
                <c:ptCount val="6"/>
                <c:pt idx="0">
                  <c:v>Europe</c:v>
                </c:pt>
                <c:pt idx="1">
                  <c:v>Asia-Pacific</c:v>
                </c:pt>
                <c:pt idx="2">
                  <c:v>Sub-Saharan Africa</c:v>
                </c:pt>
                <c:pt idx="3">
                  <c:v>Americas</c:v>
                </c:pt>
                <c:pt idx="4">
                  <c:v>Middle East &amp; North Africa</c:v>
                </c:pt>
                <c:pt idx="5">
                  <c:v>South &amp; Central Asia</c:v>
                </c:pt>
              </c:strCache>
            </c:strRef>
          </c:cat>
          <c:val>
            <c:numRef>
              <c:f>Dash_Calc!$E$50:$E$55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F4-4586-8C68-007A130A8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78172835"/>
        <c:axId val="55036215"/>
      </c:barChart>
      <c:catAx>
        <c:axId val="781728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55036215"/>
        <c:crosses val="autoZero"/>
        <c:auto val="1"/>
        <c:lblAlgn val="ctr"/>
        <c:lblOffset val="100"/>
        <c:noMultiLvlLbl val="0"/>
      </c:catAx>
      <c:valAx>
        <c:axId val="55036215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781728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864"/>
                </a:solidFill>
                <a:latin typeface="Arial"/>
              </a:rPr>
              <a:t>Primary outreach channel (outreach started)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Dash_Calc!$B$59</c:f>
              <c:strCache>
                <c:ptCount val="1"/>
                <c:pt idx="0">
                  <c:v>Embassies</c:v>
                </c:pt>
              </c:strCache>
            </c:strRef>
          </c:tx>
          <c:spPr>
            <a:solidFill>
              <a:srgbClr val="2F5597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Dash_Calc!$A$60:$A$64</c:f>
              <c:strCache>
                <c:ptCount val="5"/>
                <c:pt idx="0">
                  <c:v>Email</c:v>
                </c:pt>
                <c:pt idx="1">
                  <c:v>Meeting</c:v>
                </c:pt>
                <c:pt idx="2">
                  <c:v>Phone</c:v>
                </c:pt>
                <c:pt idx="3">
                  <c:v>Official Letter</c:v>
                </c:pt>
                <c:pt idx="4">
                  <c:v>Event</c:v>
                </c:pt>
              </c:strCache>
            </c:strRef>
          </c:cat>
          <c:val>
            <c:numRef>
              <c:f>Dash_Calc!$B$60:$B$64</c:f>
              <c:numCache>
                <c:formatCode>General</c:formatCode>
                <c:ptCount val="5"/>
                <c:pt idx="0">
                  <c:v>24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D-4B89-954D-2848BE214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96030567"/>
        <c:axId val="19769481"/>
      </c:barChart>
      <c:catAx>
        <c:axId val="960305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9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19769481"/>
        <c:crosses val="autoZero"/>
        <c:auto val="1"/>
        <c:lblAlgn val="ctr"/>
        <c:lblOffset val="100"/>
        <c:noMultiLvlLbl val="0"/>
      </c:catAx>
      <c:valAx>
        <c:axId val="19769481"/>
        <c:scaling>
          <c:orientation val="minMax"/>
          <c:min val="0"/>
        </c:scaling>
        <c:delete val="1"/>
        <c:axPos val="t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960305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0</xdr:rowOff>
    </xdr:from>
    <xdr:to>
      <xdr:col>8</xdr:col>
      <xdr:colOff>659520</xdr:colOff>
      <xdr:row>29</xdr:row>
      <xdr:rowOff>68760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659160</xdr:colOff>
      <xdr:row>29</xdr:row>
      <xdr:rowOff>68760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8</xdr:col>
      <xdr:colOff>659520</xdr:colOff>
      <xdr:row>57</xdr:row>
      <xdr:rowOff>68760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43</xdr:row>
      <xdr:rowOff>0</xdr:rowOff>
    </xdr:from>
    <xdr:to>
      <xdr:col>16</xdr:col>
      <xdr:colOff>659160</xdr:colOff>
      <xdr:row>57</xdr:row>
      <xdr:rowOff>68760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1:Q87"/>
  <sheetViews>
    <sheetView showGridLines="0" topLeftCell="A57" zoomScale="90" zoomScaleNormal="90" workbookViewId="0">
      <selection activeCell="B12" sqref="B12:Q12"/>
    </sheetView>
  </sheetViews>
  <sheetFormatPr defaultColWidth="8.6328125" defaultRowHeight="14.5" x14ac:dyDescent="0.35"/>
  <cols>
    <col min="1" max="1" width="2" customWidth="1"/>
    <col min="2" max="17" width="11.453125" customWidth="1"/>
    <col min="18" max="18" width="2" customWidth="1"/>
  </cols>
  <sheetData>
    <row r="1" spans="2:17" ht="37.5" customHeight="1" x14ac:dyDescent="0.35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2:17" ht="18" customHeight="1" x14ac:dyDescent="0.35">
      <c r="B2" s="13" t="str">
        <f>"As of "&amp;TEXT(Settings!B2,"dd mmm yyyy")&amp;"   |   "&amp;Dash_Calc!B99&amp;" embassies across "&amp;Dash_Calc!B107&amp;" regions   |   Source: Clean_Data ("&amp;Dash_Calc!B95&amp;" duplicate rows removed)   |   Silent threshold: "&amp;Settings!B3&amp;" days"</f>
        <v>As of 06 Oct 2026   |   84 embassies across 6 regions   |   Source: Clean_Data (7 duplicate rows removed)   |   Silent threshold: 90 days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2:17" ht="7.5" customHeight="1" x14ac:dyDescent="0.35"/>
    <row r="4" spans="2:17" ht="18" customHeight="1" x14ac:dyDescent="0.35">
      <c r="B4" s="12" t="s">
        <v>1</v>
      </c>
      <c r="C4" s="12"/>
      <c r="D4" s="11" t="s">
        <v>2</v>
      </c>
      <c r="E4" s="11"/>
      <c r="F4" s="10" t="s">
        <v>3</v>
      </c>
      <c r="G4" s="10"/>
      <c r="H4" s="9" t="s">
        <v>4</v>
      </c>
      <c r="I4" s="9"/>
      <c r="J4" s="8" t="s">
        <v>5</v>
      </c>
      <c r="K4" s="8"/>
      <c r="L4" s="7" t="s">
        <v>6</v>
      </c>
      <c r="M4" s="7"/>
      <c r="N4" s="10" t="s">
        <v>7</v>
      </c>
      <c r="O4" s="10"/>
      <c r="P4" s="6" t="s">
        <v>8</v>
      </c>
      <c r="Q4" s="6"/>
    </row>
    <row r="5" spans="2:17" ht="19.5" customHeight="1" x14ac:dyDescent="0.35">
      <c r="B5" s="5">
        <f>Dash_Calc!B99</f>
        <v>84</v>
      </c>
      <c r="C5" s="5"/>
      <c r="D5" s="4">
        <f>Dash_Calc!B100</f>
        <v>59</v>
      </c>
      <c r="E5" s="4"/>
      <c r="F5" s="3">
        <f>Dash_Calc!B101</f>
        <v>19</v>
      </c>
      <c r="G5" s="3"/>
      <c r="H5" s="2">
        <f>Dash_Calc!B102</f>
        <v>10</v>
      </c>
      <c r="I5" s="2"/>
      <c r="J5" s="1">
        <f>Dash_Calc!B103</f>
        <v>30</v>
      </c>
      <c r="K5" s="1"/>
      <c r="L5" s="69">
        <f>Dash_Calc!B104</f>
        <v>13</v>
      </c>
      <c r="M5" s="69"/>
      <c r="N5" s="3">
        <f>Dash_Calc!B105</f>
        <v>17</v>
      </c>
      <c r="O5" s="3"/>
      <c r="P5" s="70">
        <f>Dash_Calc!B106</f>
        <v>53</v>
      </c>
      <c r="Q5" s="70"/>
    </row>
    <row r="6" spans="2:17" ht="19.5" customHeight="1" x14ac:dyDescent="0.35">
      <c r="B6" s="5"/>
      <c r="C6" s="5"/>
      <c r="D6" s="4"/>
      <c r="E6" s="4"/>
      <c r="F6" s="3"/>
      <c r="G6" s="3"/>
      <c r="H6" s="2"/>
      <c r="I6" s="2"/>
      <c r="J6" s="1"/>
      <c r="K6" s="1"/>
      <c r="L6" s="69"/>
      <c r="M6" s="69"/>
      <c r="N6" s="3"/>
      <c r="O6" s="3"/>
      <c r="P6" s="70"/>
      <c r="Q6" s="70"/>
    </row>
    <row r="7" spans="2:17" ht="15.75" customHeight="1" x14ac:dyDescent="0.35">
      <c r="B7" s="71" t="str">
        <f>"in "&amp;Dash_Calc!B107&amp;" regions"</f>
        <v>in 6 regions</v>
      </c>
      <c r="C7" s="71"/>
      <c r="D7" s="71" t="str">
        <f>TEXT(Dash_Calc!B100/Dash_Calc!B99,"0%")&amp;" of portfolio"</f>
        <v>70% of portfolio</v>
      </c>
      <c r="E7" s="71"/>
      <c r="F7" s="71" t="str">
        <f>TEXT(Dash_Calc!B101/Dash_Calc!B100,"0%")&amp;" of active"</f>
        <v>32% of active</v>
      </c>
      <c r="G7" s="71"/>
      <c r="H7" s="71" t="str">
        <f>TEXT(Dash_Calc!B102/Dash_Calc!B99,"0%")&amp;" of portfolio"</f>
        <v>12% of portfolio</v>
      </c>
      <c r="I7" s="71"/>
      <c r="J7" s="71" t="str">
        <f>TEXT(Dash_Calc!B103/Dash_Calc!B100,"0%")&amp;" of active"</f>
        <v>51% of active</v>
      </c>
      <c r="K7" s="71"/>
      <c r="L7" s="71" t="str">
        <f>"no contact "&amp;Settings!B3&amp;"+ days"</f>
        <v>no contact 90+ days</v>
      </c>
      <c r="M7" s="71"/>
      <c r="N7" s="71" t="str">
        <f>TEXT(Dash_Calc!B105/(Dash_Calc!B99-Dash_Calc!B102),"0%")&amp;" of started"</f>
        <v>23% of started</v>
      </c>
      <c r="O7" s="71"/>
      <c r="P7" s="71" t="str">
        <f>TEXT(Dash_Calc!B106/Dash_Calc!B99,"0%")&amp;" have data issues"</f>
        <v>63% have data issues</v>
      </c>
      <c r="Q7" s="71"/>
    </row>
    <row r="8" spans="2:17" ht="7.5" customHeight="1" x14ac:dyDescent="0.35"/>
    <row r="9" spans="2:17" ht="19.5" customHeight="1" x14ac:dyDescent="0.35">
      <c r="B9" s="72" t="s">
        <v>9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</row>
    <row r="10" spans="2:17" ht="27.75" customHeight="1" x14ac:dyDescent="0.35">
      <c r="B10" s="73" t="str">
        <f>"1.  Pipeline:  "&amp;Dash_Calc!B100&amp;" of "&amp;Dash_Calc!B99&amp;" embassies ("&amp;TEXT(Dash_Calc!B100/Dash_Calc!B99,"0%")&amp;") are in active outreach, but only "&amp;Dash_Calc!B101&amp;" ("&amp;TEXT(Dash_Calc!B101/Dash_Calc!B100,"0%")&amp;" of active) have reached Engaged status and "&amp;Dash_Calc!B102&amp;" have not been started."</f>
        <v>1.  Pipeline:  59 of 84 embassies (70%) are in active outreach, but only 19 (32% of active) have reached Engaged status and 10 have not been started.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</row>
    <row r="11" spans="2:17" ht="27.75" customHeight="1" x14ac:dyDescent="0.35">
      <c r="B11" s="73" t="str">
        <f>"2.  Follow-up discipline:  "&amp;Dash_Calc!B103&amp;" active embassies are past their follow-up date ("&amp;TEXT(Dash_Calc!B103/Dash_Calc!B100,"0%")&amp;" of active) and "&amp;Dash_Calc!B104&amp;" have had no contact for "&amp;Settings!B3&amp;"+ days. Longest overdue: "&amp;INDEX(Clean_Data!$B$2:$B$200,Dash_Calc!C70)&amp;" ("&amp;Dash_Calc!D70&amp;" days)."</f>
        <v>2.  Follow-up discipline:  30 active embassies are past their follow-up date (51% of active) and 13 have had no contact for 90+ days. Longest overdue: Ethiopia (211 days).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</row>
    <row r="12" spans="2:17" ht="27.75" customHeight="1" x14ac:dyDescent="0.35">
      <c r="B12" s="73" t="str">
        <f>IF(INDEX(Dash_Calc!A19:A24,MATCH(MAX(Dash_Calc!E19:E24),Dash_Calc!E19:E24,0))=INDEX(Dash_Calc!A19:A24,MATCH(MAX(Dash_Calc!G19:G24),Dash_Calc!G19:G24,0)),"3.  Regions:  "&amp;INDEX(Dash_Calc!A19:A24,MATCH(MAX(Dash_Calc!E19:E24),Dash_Calc!E19:E24,0))&amp;" has both the highest engaged rate ("&amp;TEXT(MAX(Dash_Calc!E19:E24),"0%")&amp;") and the highest share of overdue follow-ups ("&amp;TEXT(MAX(Dash_Calc!G19:G24),"0%")&amp;" of active) - its strongest relationships are the most at risk of going cold.","3.  Regions:  "&amp;INDEX(Dash_Calc!A19:A24,MATCH(MAX(Dash_Calc!E19:E24),Dash_Calc!E19:E24,0))&amp;" has the highest engaged rate ("&amp;TEXT(MAX(Dash_Calc!E19:E24),"0%")&amp;"); "&amp;INDEX(Dash_Calc!A19:A24,MATCH(MAX(Dash_Calc!G19:G24),Dash_Calc!G19:G24,0))&amp;" has the highest share of overdue follow-ups ("&amp;TEXT(MAX(Dash_Calc!G19:G24),"0%")&amp;" of its active embassies).")</f>
        <v>3.  Regions:  Sub-Saharan Africa has both the highest engaged rate (40%) and the highest share of overdue follow-ups (80% of active) - its strongest relationships are the most at risk of going cold.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</row>
    <row r="13" spans="2:17" ht="27.75" customHeight="1" x14ac:dyDescent="0.35">
      <c r="B13" s="73" t="str">
        <f>"4.  Ownership &amp; data:  "&amp;Dash_Calc!B84&amp;" embassies have no owner; "&amp;INDEX(Dash_Calc!A29:A34,MATCH(MAX(Dash_Calc!D29:D34),Dash_Calc!D29:D34,0))&amp;" carries the most overdue follow-ups ("&amp;MAX(Dash_Calc!D29:D34)&amp;"). "&amp;Dash_Calc!B93&amp;" of "&amp;Dash_Calc!B99&amp;" records ("&amp;TEXT(Dash_Calc!B93/Dash_Calc!B99,"0%")&amp;") need data review - treat figures as indicative until confirmed."</f>
        <v>4.  Ownership &amp; data:  8 embassies have no owner; Priya Nair carries the most overdue follow-ups (8). 53 of 84 records (63%) need data review - treat figures as indicative until confirmed.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</row>
    <row r="14" spans="2:17" ht="7.5" customHeight="1" x14ac:dyDescent="0.35"/>
    <row r="15" spans="2:17" ht="19.5" customHeight="1" x14ac:dyDescent="0.35">
      <c r="B15" s="72" t="s">
        <v>10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</row>
    <row r="31" spans="2:17" ht="7.5" customHeight="1" x14ac:dyDescent="0.35"/>
    <row r="32" spans="2:17" ht="19.5" customHeight="1" x14ac:dyDescent="0.35">
      <c r="B32" s="72" t="s">
        <v>11</v>
      </c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</row>
    <row r="33" spans="2:17" ht="39.75" customHeight="1" x14ac:dyDescent="0.35">
      <c r="B33" s="74" t="s">
        <v>12</v>
      </c>
      <c r="C33" s="74"/>
      <c r="D33" s="15" t="s">
        <v>13</v>
      </c>
      <c r="E33" s="15" t="s">
        <v>14</v>
      </c>
      <c r="F33" s="15" t="s">
        <v>15</v>
      </c>
      <c r="G33" s="15" t="s">
        <v>16</v>
      </c>
      <c r="H33" s="15" t="s">
        <v>17</v>
      </c>
      <c r="I33" s="15" t="s">
        <v>18</v>
      </c>
      <c r="J33" s="15" t="s">
        <v>19</v>
      </c>
      <c r="K33" s="74" t="s">
        <v>20</v>
      </c>
      <c r="L33" s="74"/>
      <c r="M33" s="15" t="s">
        <v>13</v>
      </c>
      <c r="N33" s="15" t="s">
        <v>14</v>
      </c>
      <c r="O33" s="15" t="s">
        <v>17</v>
      </c>
      <c r="P33" s="15" t="s">
        <v>18</v>
      </c>
      <c r="Q33" s="15" t="s">
        <v>19</v>
      </c>
    </row>
    <row r="34" spans="2:17" ht="18" customHeight="1" x14ac:dyDescent="0.35">
      <c r="B34" s="75" t="str">
        <f>Dash_Calc!A19</f>
        <v>Europe</v>
      </c>
      <c r="C34" s="75"/>
      <c r="D34" s="16">
        <f>Dash_Calc!B19</f>
        <v>21</v>
      </c>
      <c r="E34" s="16">
        <f>Dash_Calc!C19</f>
        <v>14</v>
      </c>
      <c r="F34" s="16">
        <f>Dash_Calc!D19</f>
        <v>3</v>
      </c>
      <c r="G34" s="17">
        <f>Dash_Calc!E19</f>
        <v>0.14285714285714285</v>
      </c>
      <c r="H34" s="16">
        <f>Dash_Calc!F19</f>
        <v>6</v>
      </c>
      <c r="I34" s="17">
        <f>Dash_Calc!G19</f>
        <v>0.42857142857142855</v>
      </c>
      <c r="J34" s="16">
        <f>Dash_Calc!H19</f>
        <v>4</v>
      </c>
      <c r="K34" s="75" t="str">
        <f>Dash_Calc!A29</f>
        <v>Anita Deshmukh</v>
      </c>
      <c r="L34" s="75"/>
      <c r="M34" s="16">
        <f>Dash_Calc!B29</f>
        <v>8</v>
      </c>
      <c r="N34" s="16">
        <f>Dash_Calc!C29</f>
        <v>5</v>
      </c>
      <c r="O34" s="16">
        <f>Dash_Calc!D29</f>
        <v>2</v>
      </c>
      <c r="P34" s="17">
        <f>Dash_Calc!E29</f>
        <v>0.4</v>
      </c>
      <c r="Q34" s="16">
        <f>Dash_Calc!F29</f>
        <v>1</v>
      </c>
    </row>
    <row r="35" spans="2:17" ht="18" customHeight="1" x14ac:dyDescent="0.35">
      <c r="B35" s="75" t="str">
        <f>Dash_Calc!A20</f>
        <v>Asia-Pacific</v>
      </c>
      <c r="C35" s="75"/>
      <c r="D35" s="16">
        <f>Dash_Calc!B20</f>
        <v>15</v>
      </c>
      <c r="E35" s="16">
        <f>Dash_Calc!C20</f>
        <v>12</v>
      </c>
      <c r="F35" s="16">
        <f>Dash_Calc!D20</f>
        <v>3</v>
      </c>
      <c r="G35" s="17">
        <f>Dash_Calc!E20</f>
        <v>0.2</v>
      </c>
      <c r="H35" s="16">
        <f>Dash_Calc!F20</f>
        <v>7</v>
      </c>
      <c r="I35" s="17">
        <f>Dash_Calc!G20</f>
        <v>0.58333333333333337</v>
      </c>
      <c r="J35" s="16">
        <f>Dash_Calc!H20</f>
        <v>1</v>
      </c>
      <c r="K35" s="75" t="str">
        <f>Dash_Calc!A30</f>
        <v>Arjun Mehta</v>
      </c>
      <c r="L35" s="75"/>
      <c r="M35" s="16">
        <f>Dash_Calc!B30</f>
        <v>13</v>
      </c>
      <c r="N35" s="16">
        <f>Dash_Calc!C30</f>
        <v>9</v>
      </c>
      <c r="O35" s="16">
        <f>Dash_Calc!D30</f>
        <v>5</v>
      </c>
      <c r="P35" s="17">
        <f>Dash_Calc!E30</f>
        <v>0.55555555555555558</v>
      </c>
      <c r="Q35" s="16">
        <f>Dash_Calc!F30</f>
        <v>4</v>
      </c>
    </row>
    <row r="36" spans="2:17" ht="18" customHeight="1" x14ac:dyDescent="0.35">
      <c r="B36" s="75" t="str">
        <f>Dash_Calc!A21</f>
        <v>Sub-Saharan Africa</v>
      </c>
      <c r="C36" s="75"/>
      <c r="D36" s="16">
        <f>Dash_Calc!B21</f>
        <v>15</v>
      </c>
      <c r="E36" s="16">
        <f>Dash_Calc!C21</f>
        <v>10</v>
      </c>
      <c r="F36" s="16">
        <f>Dash_Calc!D21</f>
        <v>6</v>
      </c>
      <c r="G36" s="17">
        <f>Dash_Calc!E21</f>
        <v>0.4</v>
      </c>
      <c r="H36" s="16">
        <f>Dash_Calc!F21</f>
        <v>8</v>
      </c>
      <c r="I36" s="17">
        <f>Dash_Calc!G21</f>
        <v>0.8</v>
      </c>
      <c r="J36" s="16">
        <f>Dash_Calc!H21</f>
        <v>4</v>
      </c>
      <c r="K36" s="75" t="str">
        <f>Dash_Calc!A31</f>
        <v>Neha Kulkarni</v>
      </c>
      <c r="L36" s="75"/>
      <c r="M36" s="16">
        <f>Dash_Calc!B31</f>
        <v>14</v>
      </c>
      <c r="N36" s="16">
        <f>Dash_Calc!C31</f>
        <v>9</v>
      </c>
      <c r="O36" s="16">
        <f>Dash_Calc!D31</f>
        <v>6</v>
      </c>
      <c r="P36" s="17">
        <f>Dash_Calc!E31</f>
        <v>0.66666666666666663</v>
      </c>
      <c r="Q36" s="16">
        <f>Dash_Calc!F31</f>
        <v>2</v>
      </c>
    </row>
    <row r="37" spans="2:17" ht="18" customHeight="1" x14ac:dyDescent="0.35">
      <c r="B37" s="75" t="str">
        <f>Dash_Calc!A22</f>
        <v>Americas</v>
      </c>
      <c r="C37" s="75"/>
      <c r="D37" s="16">
        <f>Dash_Calc!B22</f>
        <v>14</v>
      </c>
      <c r="E37" s="16">
        <f>Dash_Calc!C22</f>
        <v>11</v>
      </c>
      <c r="F37" s="16">
        <f>Dash_Calc!D22</f>
        <v>3</v>
      </c>
      <c r="G37" s="17">
        <f>Dash_Calc!E22</f>
        <v>0.21428571428571427</v>
      </c>
      <c r="H37" s="16">
        <f>Dash_Calc!F22</f>
        <v>4</v>
      </c>
      <c r="I37" s="17">
        <f>Dash_Calc!G22</f>
        <v>0.36363636363636365</v>
      </c>
      <c r="J37" s="16">
        <f>Dash_Calc!H22</f>
        <v>1</v>
      </c>
      <c r="K37" s="75" t="str">
        <f>Dash_Calc!A32</f>
        <v>Priya Nair</v>
      </c>
      <c r="L37" s="75"/>
      <c r="M37" s="16">
        <f>Dash_Calc!B32</f>
        <v>14</v>
      </c>
      <c r="N37" s="16">
        <f>Dash_Calc!C32</f>
        <v>11</v>
      </c>
      <c r="O37" s="16">
        <f>Dash_Calc!D32</f>
        <v>8</v>
      </c>
      <c r="P37" s="17">
        <f>Dash_Calc!E32</f>
        <v>0.72727272727272729</v>
      </c>
      <c r="Q37" s="16">
        <f>Dash_Calc!F32</f>
        <v>2</v>
      </c>
    </row>
    <row r="38" spans="2:17" ht="18" customHeight="1" x14ac:dyDescent="0.35">
      <c r="B38" s="75" t="str">
        <f>Dash_Calc!A23</f>
        <v>Middle East &amp; North Africa</v>
      </c>
      <c r="C38" s="75"/>
      <c r="D38" s="16">
        <f>Dash_Calc!B23</f>
        <v>12</v>
      </c>
      <c r="E38" s="16">
        <f>Dash_Calc!C23</f>
        <v>7</v>
      </c>
      <c r="F38" s="16">
        <f>Dash_Calc!D23</f>
        <v>3</v>
      </c>
      <c r="G38" s="17">
        <f>Dash_Calc!E23</f>
        <v>0.25</v>
      </c>
      <c r="H38" s="16">
        <f>Dash_Calc!F23</f>
        <v>1</v>
      </c>
      <c r="I38" s="17">
        <f>Dash_Calc!G23</f>
        <v>0.14285714285714285</v>
      </c>
      <c r="J38" s="16">
        <f>Dash_Calc!H23</f>
        <v>1</v>
      </c>
      <c r="K38" s="75" t="str">
        <f>Dash_Calc!A33</f>
        <v>Rahul Verma</v>
      </c>
      <c r="L38" s="75"/>
      <c r="M38" s="16">
        <f>Dash_Calc!B33</f>
        <v>13</v>
      </c>
      <c r="N38" s="16">
        <f>Dash_Calc!C33</f>
        <v>9</v>
      </c>
      <c r="O38" s="16">
        <f>Dash_Calc!D33</f>
        <v>1</v>
      </c>
      <c r="P38" s="17">
        <f>Dash_Calc!E33</f>
        <v>0.1111111111111111</v>
      </c>
      <c r="Q38" s="16">
        <f>Dash_Calc!F33</f>
        <v>0</v>
      </c>
    </row>
    <row r="39" spans="2:17" ht="18" customHeight="1" x14ac:dyDescent="0.35">
      <c r="B39" s="75" t="str">
        <f>Dash_Calc!A24</f>
        <v>South &amp; Central Asia</v>
      </c>
      <c r="C39" s="75"/>
      <c r="D39" s="16">
        <f>Dash_Calc!B24</f>
        <v>7</v>
      </c>
      <c r="E39" s="16">
        <f>Dash_Calc!C24</f>
        <v>5</v>
      </c>
      <c r="F39" s="16">
        <f>Dash_Calc!D24</f>
        <v>1</v>
      </c>
      <c r="G39" s="17">
        <f>Dash_Calc!E24</f>
        <v>0.14285714285714285</v>
      </c>
      <c r="H39" s="16">
        <f>Dash_Calc!F24</f>
        <v>4</v>
      </c>
      <c r="I39" s="17">
        <f>Dash_Calc!G24</f>
        <v>0.8</v>
      </c>
      <c r="J39" s="16">
        <f>Dash_Calc!H24</f>
        <v>2</v>
      </c>
      <c r="K39" s="75" t="str">
        <f>Dash_Calc!A34</f>
        <v>Sameer Khan</v>
      </c>
      <c r="L39" s="75"/>
      <c r="M39" s="16">
        <f>Dash_Calc!B34</f>
        <v>14</v>
      </c>
      <c r="N39" s="16">
        <f>Dash_Calc!C34</f>
        <v>11</v>
      </c>
      <c r="O39" s="16">
        <f>Dash_Calc!D34</f>
        <v>6</v>
      </c>
      <c r="P39" s="17">
        <f>Dash_Calc!E34</f>
        <v>0.54545454545454541</v>
      </c>
      <c r="Q39" s="16">
        <f>Dash_Calc!F34</f>
        <v>3</v>
      </c>
    </row>
    <row r="40" spans="2:17" ht="18" customHeight="1" x14ac:dyDescent="0.35">
      <c r="B40" s="76" t="str">
        <f>Dash_Calc!A25</f>
        <v>Total</v>
      </c>
      <c r="C40" s="76"/>
      <c r="D40" s="18">
        <f>Dash_Calc!B25</f>
        <v>84</v>
      </c>
      <c r="E40" s="18">
        <f>Dash_Calc!C25</f>
        <v>59</v>
      </c>
      <c r="F40" s="18">
        <f>Dash_Calc!D25</f>
        <v>19</v>
      </c>
      <c r="G40" s="19">
        <f>Dash_Calc!E25</f>
        <v>0.22619047619047619</v>
      </c>
      <c r="H40" s="18">
        <f>Dash_Calc!F25</f>
        <v>30</v>
      </c>
      <c r="I40" s="19">
        <f>Dash_Calc!G25</f>
        <v>0.50847457627118642</v>
      </c>
      <c r="J40" s="18">
        <f>Dash_Calc!H25</f>
        <v>13</v>
      </c>
      <c r="K40" s="75" t="str">
        <f>Dash_Calc!A35</f>
        <v>Unassigned</v>
      </c>
      <c r="L40" s="75"/>
      <c r="M40" s="16">
        <f>Dash_Calc!B35</f>
        <v>8</v>
      </c>
      <c r="N40" s="16">
        <f>Dash_Calc!C35</f>
        <v>5</v>
      </c>
      <c r="O40" s="16">
        <f>Dash_Calc!D35</f>
        <v>2</v>
      </c>
      <c r="P40" s="17">
        <f>Dash_Calc!E35</f>
        <v>0.4</v>
      </c>
      <c r="Q40" s="16">
        <f>Dash_Calc!F35</f>
        <v>1</v>
      </c>
    </row>
    <row r="41" spans="2:17" ht="18" customHeight="1" x14ac:dyDescent="0.35">
      <c r="K41" s="76" t="str">
        <f>Dash_Calc!A36</f>
        <v>Total</v>
      </c>
      <c r="L41" s="76"/>
      <c r="M41" s="18">
        <f>Dash_Calc!B36</f>
        <v>84</v>
      </c>
      <c r="N41" s="18">
        <f>Dash_Calc!C36</f>
        <v>59</v>
      </c>
      <c r="O41" s="18">
        <f>Dash_Calc!D36</f>
        <v>30</v>
      </c>
      <c r="P41" s="19">
        <f>Dash_Calc!E36</f>
        <v>0.50847457627118642</v>
      </c>
      <c r="Q41" s="18">
        <f>Dash_Calc!F36</f>
        <v>13</v>
      </c>
    </row>
    <row r="42" spans="2:17" ht="7.5" customHeight="1" x14ac:dyDescent="0.35"/>
    <row r="43" spans="2:17" ht="19.5" customHeight="1" x14ac:dyDescent="0.35">
      <c r="B43" s="72" t="s">
        <v>21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</row>
    <row r="59" spans="2:17" ht="7.5" customHeight="1" x14ac:dyDescent="0.35"/>
    <row r="60" spans="2:17" ht="19.5" customHeight="1" x14ac:dyDescent="0.35">
      <c r="B60" s="72" t="s">
        <v>22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</row>
    <row r="61" spans="2:17" x14ac:dyDescent="0.35">
      <c r="B61" s="77" t="str">
        <f>"Overdue follow-ups - top 10 by days overdue  ("&amp;Dash_Calc!B103&amp;" in total)"</f>
        <v>Overdue follow-ups - top 10 by days overdue  (30 in total)</v>
      </c>
      <c r="C61" s="77"/>
      <c r="D61" s="77"/>
      <c r="E61" s="77"/>
      <c r="F61" s="77"/>
      <c r="G61" s="77"/>
      <c r="H61" s="77"/>
      <c r="I61" s="77"/>
      <c r="J61" s="78" t="str">
        <f>"Silent active embassies - top 10 by days since contact  ("&amp;Dash_Calc!B104&amp;" in total)"</f>
        <v>Silent active embassies - top 10 by days since contact  (13 in total)</v>
      </c>
      <c r="K61" s="78"/>
      <c r="L61" s="78"/>
      <c r="M61" s="78"/>
      <c r="N61" s="78"/>
      <c r="O61" s="78"/>
      <c r="P61" s="78"/>
      <c r="Q61" s="78"/>
    </row>
    <row r="62" spans="2:17" x14ac:dyDescent="0.35">
      <c r="B62" s="20" t="s">
        <v>23</v>
      </c>
      <c r="C62" s="79" t="s">
        <v>24</v>
      </c>
      <c r="D62" s="79"/>
      <c r="E62" s="79" t="s">
        <v>25</v>
      </c>
      <c r="F62" s="79"/>
      <c r="G62" s="79" t="s">
        <v>20</v>
      </c>
      <c r="H62" s="79"/>
      <c r="I62" s="20" t="s">
        <v>26</v>
      </c>
      <c r="J62" s="20" t="s">
        <v>23</v>
      </c>
      <c r="K62" s="79" t="s">
        <v>24</v>
      </c>
      <c r="L62" s="79"/>
      <c r="M62" s="79" t="s">
        <v>25</v>
      </c>
      <c r="N62" s="79"/>
      <c r="O62" s="79" t="s">
        <v>20</v>
      </c>
      <c r="P62" s="79"/>
      <c r="Q62" s="20" t="s">
        <v>27</v>
      </c>
    </row>
    <row r="63" spans="2:17" ht="16.5" customHeight="1" x14ac:dyDescent="0.35">
      <c r="B63" s="21">
        <v>1</v>
      </c>
      <c r="C63" s="80" t="str">
        <f>IF(Dash_Calc!C70="","",INDEX(Clean_Data!$B$2:$B$200,Dash_Calc!C70))</f>
        <v>Ethiopia</v>
      </c>
      <c r="D63" s="80"/>
      <c r="E63" s="80" t="str">
        <f>IF(Dash_Calc!C70="","",INDEX(Clean_Data!$J$2:$J$200,Dash_Calc!C70))</f>
        <v>Engaged</v>
      </c>
      <c r="F63" s="80"/>
      <c r="G63" s="80" t="str">
        <f>IF(Dash_Calc!C70="","",INDEX(Clean_Data!$K$2:$K$200,Dash_Calc!C70))</f>
        <v>Neha Kulkarni</v>
      </c>
      <c r="H63" s="80"/>
      <c r="I63" s="23">
        <f>IF(Dash_Calc!D70="","",Dash_Calc!D70)</f>
        <v>211</v>
      </c>
      <c r="J63" s="21">
        <v>1</v>
      </c>
      <c r="K63" s="80" t="str">
        <f>IF(Dash_Calc!G70="","",INDEX(Clean_Data!$B$2:$B$200,Dash_Calc!G70))</f>
        <v>Ghana</v>
      </c>
      <c r="L63" s="80"/>
      <c r="M63" s="80" t="str">
        <f>IF(Dash_Calc!G70="","",INDEX(Clean_Data!$J$2:$J$200,Dash_Calc!G70))</f>
        <v>Engaged</v>
      </c>
      <c r="N63" s="80"/>
      <c r="O63" s="80" t="str">
        <f>IF(Dash_Calc!G70="","",INDEX(Clean_Data!$K$2:$K$200,Dash_Calc!G70))</f>
        <v>Anita Deshmukh</v>
      </c>
      <c r="P63" s="80"/>
      <c r="Q63" s="23">
        <f>IF(Dash_Calc!H70="","",Dash_Calc!H70)</f>
        <v>331</v>
      </c>
    </row>
    <row r="64" spans="2:17" ht="16.5" customHeight="1" x14ac:dyDescent="0.35">
      <c r="B64" s="21">
        <v>2</v>
      </c>
      <c r="C64" s="80" t="str">
        <f>IF(Dash_Calc!C71="","",INDEX(Clean_Data!$B$2:$B$200,Dash_Calc!C71))</f>
        <v>Zimbabwe</v>
      </c>
      <c r="D64" s="80"/>
      <c r="E64" s="80" t="str">
        <f>IF(Dash_Calc!C71="","",INDEX(Clean_Data!$J$2:$J$200,Dash_Calc!C71))</f>
        <v>Initial Contact</v>
      </c>
      <c r="F64" s="80"/>
      <c r="G64" s="80" t="str">
        <f>IF(Dash_Calc!C71="","",INDEX(Clean_Data!$K$2:$K$200,Dash_Calc!C71))</f>
        <v>Arjun Mehta</v>
      </c>
      <c r="H64" s="80"/>
      <c r="I64" s="23">
        <f>IF(Dash_Calc!D71="","",Dash_Calc!D71)</f>
        <v>181</v>
      </c>
      <c r="J64" s="21">
        <v>2</v>
      </c>
      <c r="K64" s="80" t="str">
        <f>IF(Dash_Calc!G71="","",INDEX(Clean_Data!$B$2:$B$200,Dash_Calc!G71))</f>
        <v>Ethiopia</v>
      </c>
      <c r="L64" s="80"/>
      <c r="M64" s="80" t="str">
        <f>IF(Dash_Calc!G71="","",INDEX(Clean_Data!$J$2:$J$200,Dash_Calc!G71))</f>
        <v>Engaged</v>
      </c>
      <c r="N64" s="80"/>
      <c r="O64" s="80" t="str">
        <f>IF(Dash_Calc!G71="","",INDEX(Clean_Data!$K$2:$K$200,Dash_Calc!G71))</f>
        <v>Neha Kulkarni</v>
      </c>
      <c r="P64" s="80"/>
      <c r="Q64" s="23">
        <f>IF(Dash_Calc!H71="","",Dash_Calc!H71)</f>
        <v>228</v>
      </c>
    </row>
    <row r="65" spans="2:17" ht="16.5" customHeight="1" x14ac:dyDescent="0.35">
      <c r="B65" s="21">
        <v>3</v>
      </c>
      <c r="C65" s="80" t="str">
        <f>IF(Dash_Calc!C72="","",INDEX(Clean_Data!$B$2:$B$200,Dash_Calc!C72))</f>
        <v>Russian Federation</v>
      </c>
      <c r="D65" s="80"/>
      <c r="E65" s="80" t="str">
        <f>IF(Dash_Calc!C72="","",INDEX(Clean_Data!$J$2:$J$200,Dash_Calc!C72))</f>
        <v>Engaged</v>
      </c>
      <c r="F65" s="80"/>
      <c r="G65" s="80" t="str">
        <f>IF(Dash_Calc!C72="","",INDEX(Clean_Data!$K$2:$K$200,Dash_Calc!C72))</f>
        <v>Neha Kulkarni</v>
      </c>
      <c r="H65" s="80"/>
      <c r="I65" s="23">
        <f>IF(Dash_Calc!D72="","",Dash_Calc!D72)</f>
        <v>179</v>
      </c>
      <c r="J65" s="21">
        <v>3</v>
      </c>
      <c r="K65" s="80" t="str">
        <f>IF(Dash_Calc!G72="","",INDEX(Clean_Data!$B$2:$B$200,Dash_Calc!G72))</f>
        <v>Peru</v>
      </c>
      <c r="L65" s="80"/>
      <c r="M65" s="80" t="str">
        <f>IF(Dash_Calc!G72="","",INDEX(Clean_Data!$J$2:$J$200,Dash_Calc!G72))</f>
        <v>Initial Contact</v>
      </c>
      <c r="N65" s="80"/>
      <c r="O65" s="80" t="str">
        <f>IF(Dash_Calc!G72="","",INDEX(Clean_Data!$K$2:$K$200,Dash_Calc!G72))</f>
        <v>Priya Nair</v>
      </c>
      <c r="P65" s="80"/>
      <c r="Q65" s="23">
        <f>IF(Dash_Calc!H72="","",Dash_Calc!H72)</f>
        <v>225</v>
      </c>
    </row>
    <row r="66" spans="2:17" ht="16.5" customHeight="1" x14ac:dyDescent="0.35">
      <c r="B66" s="21">
        <v>4</v>
      </c>
      <c r="C66" s="80" t="str">
        <f>IF(Dash_Calc!C73="","",INDEX(Clean_Data!$B$2:$B$200,Dash_Calc!C73))</f>
        <v>Ireland</v>
      </c>
      <c r="D66" s="80"/>
      <c r="E66" s="80" t="str">
        <f>IF(Dash_Calc!C73="","",INDEX(Clean_Data!$J$2:$J$200,Dash_Calc!C73))</f>
        <v>In Discussion</v>
      </c>
      <c r="F66" s="80"/>
      <c r="G66" s="80" t="str">
        <f>IF(Dash_Calc!C73="","",INDEX(Clean_Data!$K$2:$K$200,Dash_Calc!C73))</f>
        <v>Sameer Khan</v>
      </c>
      <c r="H66" s="80"/>
      <c r="I66" s="23">
        <f>IF(Dash_Calc!D73="","",Dash_Calc!D73)</f>
        <v>173</v>
      </c>
      <c r="J66" s="21">
        <v>4</v>
      </c>
      <c r="K66" s="80" t="str">
        <f>IF(Dash_Calc!G73="","",INDEX(Clean_Data!$B$2:$B$200,Dash_Calc!G73))</f>
        <v>Germany</v>
      </c>
      <c r="L66" s="80"/>
      <c r="M66" s="80" t="str">
        <f>IF(Dash_Calc!G73="","",INDEX(Clean_Data!$J$2:$J$200,Dash_Calc!G73))</f>
        <v>Initial Contact</v>
      </c>
      <c r="N66" s="80"/>
      <c r="O66" s="80" t="str">
        <f>IF(Dash_Calc!G73="","",INDEX(Clean_Data!$K$2:$K$200,Dash_Calc!G73))</f>
        <v>Priya Nair</v>
      </c>
      <c r="P66" s="80"/>
      <c r="Q66" s="23">
        <f>IF(Dash_Calc!H73="","",Dash_Calc!H73)</f>
        <v>223</v>
      </c>
    </row>
    <row r="67" spans="2:17" ht="16.5" customHeight="1" x14ac:dyDescent="0.35">
      <c r="B67" s="21">
        <v>5</v>
      </c>
      <c r="C67" s="80" t="str">
        <f>IF(Dash_Calc!C74="","",INDEX(Clean_Data!$B$2:$B$200,Dash_Calc!C74))</f>
        <v>Germany</v>
      </c>
      <c r="D67" s="80"/>
      <c r="E67" s="80" t="str">
        <f>IF(Dash_Calc!C74="","",INDEX(Clean_Data!$J$2:$J$200,Dash_Calc!C74))</f>
        <v>Initial Contact</v>
      </c>
      <c r="F67" s="80"/>
      <c r="G67" s="80" t="str">
        <f>IF(Dash_Calc!C74="","",INDEX(Clean_Data!$K$2:$K$200,Dash_Calc!C74))</f>
        <v>Priya Nair</v>
      </c>
      <c r="H67" s="80"/>
      <c r="I67" s="23">
        <f>IF(Dash_Calc!D74="","",Dash_Calc!D74)</f>
        <v>169</v>
      </c>
      <c r="J67" s="21">
        <v>5</v>
      </c>
      <c r="K67" s="80" t="str">
        <f>IF(Dash_Calc!G74="","",INDEX(Clean_Data!$B$2:$B$200,Dash_Calc!G74))</f>
        <v>Zimbabwe</v>
      </c>
      <c r="L67" s="80"/>
      <c r="M67" s="80" t="str">
        <f>IF(Dash_Calc!G74="","",INDEX(Clean_Data!$J$2:$J$200,Dash_Calc!G74))</f>
        <v>Initial Contact</v>
      </c>
      <c r="N67" s="80"/>
      <c r="O67" s="80" t="str">
        <f>IF(Dash_Calc!G74="","",INDEX(Clean_Data!$K$2:$K$200,Dash_Calc!G74))</f>
        <v>Arjun Mehta</v>
      </c>
      <c r="P67" s="80"/>
      <c r="Q67" s="23">
        <f>IF(Dash_Calc!H74="","",Dash_Calc!H74)</f>
        <v>222</v>
      </c>
    </row>
    <row r="68" spans="2:17" ht="16.5" customHeight="1" x14ac:dyDescent="0.35">
      <c r="B68" s="21">
        <v>6</v>
      </c>
      <c r="C68" s="80" t="str">
        <f>IF(Dash_Calc!C75="","",INDEX(Clean_Data!$B$2:$B$200,Dash_Calc!C75))</f>
        <v>Peru</v>
      </c>
      <c r="D68" s="80"/>
      <c r="E68" s="80" t="str">
        <f>IF(Dash_Calc!C75="","",INDEX(Clean_Data!$J$2:$J$200,Dash_Calc!C75))</f>
        <v>Initial Contact</v>
      </c>
      <c r="F68" s="80"/>
      <c r="G68" s="80" t="str">
        <f>IF(Dash_Calc!C75="","",INDEX(Clean_Data!$K$2:$K$200,Dash_Calc!C75))</f>
        <v>Priya Nair</v>
      </c>
      <c r="H68" s="80"/>
      <c r="I68" s="23">
        <f>IF(Dash_Calc!D75="","",Dash_Calc!D75)</f>
        <v>167</v>
      </c>
      <c r="J68" s="21">
        <v>6</v>
      </c>
      <c r="K68" s="80" t="str">
        <f>IF(Dash_Calc!G75="","",INDEX(Clean_Data!$B$2:$B$200,Dash_Calc!G75))</f>
        <v>Russian Federation</v>
      </c>
      <c r="L68" s="80"/>
      <c r="M68" s="80" t="str">
        <f>IF(Dash_Calc!G75="","",INDEX(Clean_Data!$J$2:$J$200,Dash_Calc!G75))</f>
        <v>Engaged</v>
      </c>
      <c r="N68" s="80"/>
      <c r="O68" s="80" t="str">
        <f>IF(Dash_Calc!G75="","",INDEX(Clean_Data!$K$2:$K$200,Dash_Calc!G75))</f>
        <v>Neha Kulkarni</v>
      </c>
      <c r="P68" s="80"/>
      <c r="Q68" s="23">
        <f>IF(Dash_Calc!H75="","",Dash_Calc!H75)</f>
        <v>218</v>
      </c>
    </row>
    <row r="69" spans="2:17" ht="16.5" customHeight="1" x14ac:dyDescent="0.35">
      <c r="B69" s="21">
        <v>7</v>
      </c>
      <c r="C69" s="80" t="str">
        <f>IF(Dash_Calc!C76="","",INDEX(Clean_Data!$B$2:$B$200,Dash_Calc!C76))</f>
        <v>Nigeria</v>
      </c>
      <c r="D69" s="80"/>
      <c r="E69" s="80" t="str">
        <f>IF(Dash_Calc!C76="","",INDEX(Clean_Data!$J$2:$J$200,Dash_Calc!C76))</f>
        <v>Engaged</v>
      </c>
      <c r="F69" s="80"/>
      <c r="G69" s="80" t="str">
        <f>IF(Dash_Calc!C76="","",INDEX(Clean_Data!$K$2:$K$200,Dash_Calc!C76))</f>
        <v>Arjun Mehta</v>
      </c>
      <c r="H69" s="80"/>
      <c r="I69" s="23">
        <f>IF(Dash_Calc!D76="","",Dash_Calc!D76)</f>
        <v>98</v>
      </c>
      <c r="J69" s="21">
        <v>7</v>
      </c>
      <c r="K69" s="80" t="str">
        <f>IF(Dash_Calc!G76="","",INDEX(Clean_Data!$B$2:$B$200,Dash_Calc!G76))</f>
        <v>Ireland</v>
      </c>
      <c r="L69" s="80"/>
      <c r="M69" s="80" t="str">
        <f>IF(Dash_Calc!G76="","",INDEX(Clean_Data!$J$2:$J$200,Dash_Calc!G76))</f>
        <v>In Discussion</v>
      </c>
      <c r="N69" s="80"/>
      <c r="O69" s="80" t="str">
        <f>IF(Dash_Calc!G76="","",INDEX(Clean_Data!$K$2:$K$200,Dash_Calc!G76))</f>
        <v>Sameer Khan</v>
      </c>
      <c r="P69" s="80"/>
      <c r="Q69" s="23">
        <f>IF(Dash_Calc!H76="","",Dash_Calc!H76)</f>
        <v>214</v>
      </c>
    </row>
    <row r="70" spans="2:17" ht="16.5" customHeight="1" x14ac:dyDescent="0.35">
      <c r="B70" s="21">
        <v>8</v>
      </c>
      <c r="C70" s="80" t="str">
        <f>IF(Dash_Calc!C77="","",INDEX(Clean_Data!$B$2:$B$200,Dash_Calc!C77))</f>
        <v>Iraq</v>
      </c>
      <c r="D70" s="80"/>
      <c r="E70" s="80" t="str">
        <f>IF(Dash_Calc!C77="","",INDEX(Clean_Data!$J$2:$J$200,Dash_Calc!C77))</f>
        <v>In Discussion</v>
      </c>
      <c r="F70" s="80"/>
      <c r="G70" s="80" t="str">
        <f>IF(Dash_Calc!C77="","",INDEX(Clean_Data!$K$2:$K$200,Dash_Calc!C77))</f>
        <v>Sameer Khan</v>
      </c>
      <c r="H70" s="80"/>
      <c r="I70" s="23">
        <f>IF(Dash_Calc!D77="","",Dash_Calc!D77)</f>
        <v>91</v>
      </c>
      <c r="J70" s="21">
        <v>8</v>
      </c>
      <c r="K70" s="80" t="str">
        <f>IF(Dash_Calc!G77="","",INDEX(Clean_Data!$B$2:$B$200,Dash_Calc!G77))</f>
        <v>Nigeria</v>
      </c>
      <c r="L70" s="80"/>
      <c r="M70" s="80" t="str">
        <f>IF(Dash_Calc!G77="","",INDEX(Clean_Data!$J$2:$J$200,Dash_Calc!G77))</f>
        <v>Engaged</v>
      </c>
      <c r="N70" s="80"/>
      <c r="O70" s="80" t="str">
        <f>IF(Dash_Calc!G77="","",INDEX(Clean_Data!$K$2:$K$200,Dash_Calc!G77))</f>
        <v>Arjun Mehta</v>
      </c>
      <c r="P70" s="80"/>
      <c r="Q70" s="23">
        <f>IF(Dash_Calc!H77="","",Dash_Calc!H77)</f>
        <v>141</v>
      </c>
    </row>
    <row r="71" spans="2:17" ht="16.5" customHeight="1" x14ac:dyDescent="0.35">
      <c r="B71" s="21">
        <v>9</v>
      </c>
      <c r="C71" s="80" t="str">
        <f>IF(Dash_Calc!C78="","",INDEX(Clean_Data!$B$2:$B$200,Dash_Calc!C78))</f>
        <v>Denmark</v>
      </c>
      <c r="D71" s="80"/>
      <c r="E71" s="80" t="str">
        <f>IF(Dash_Calc!C78="","",INDEX(Clean_Data!$J$2:$J$200,Dash_Calc!C78))</f>
        <v>Meeting Scheduled</v>
      </c>
      <c r="F71" s="80"/>
      <c r="G71" s="80" t="str">
        <f>IF(Dash_Calc!C78="","",INDEX(Clean_Data!$K$2:$K$200,Dash_Calc!C78))</f>
        <v>Sameer Khan</v>
      </c>
      <c r="H71" s="80"/>
      <c r="I71" s="23">
        <f>IF(Dash_Calc!D78="","",Dash_Calc!D78)</f>
        <v>86</v>
      </c>
      <c r="J71" s="21">
        <v>9</v>
      </c>
      <c r="K71" s="80" t="str">
        <f>IF(Dash_Calc!G78="","",INDEX(Clean_Data!$B$2:$B$200,Dash_Calc!G78))</f>
        <v>Iraq</v>
      </c>
      <c r="L71" s="80"/>
      <c r="M71" s="80" t="str">
        <f>IF(Dash_Calc!G78="","",INDEX(Clean_Data!$J$2:$J$200,Dash_Calc!G78))</f>
        <v>In Discussion</v>
      </c>
      <c r="N71" s="80"/>
      <c r="O71" s="80" t="str">
        <f>IF(Dash_Calc!G78="","",INDEX(Clean_Data!$K$2:$K$200,Dash_Calc!G78))</f>
        <v>Sameer Khan</v>
      </c>
      <c r="P71" s="80"/>
      <c r="Q71" s="23">
        <f>IF(Dash_Calc!H78="","",Dash_Calc!H78)</f>
        <v>132</v>
      </c>
    </row>
    <row r="72" spans="2:17" ht="16.5" customHeight="1" x14ac:dyDescent="0.35">
      <c r="B72" s="21">
        <v>10</v>
      </c>
      <c r="C72" s="80" t="str">
        <f>IF(Dash_Calc!C79="","",INDEX(Clean_Data!$B$2:$B$200,Dash_Calc!C79))</f>
        <v>Bhutan</v>
      </c>
      <c r="D72" s="80"/>
      <c r="E72" s="80" t="str">
        <f>IF(Dash_Calc!C79="","",INDEX(Clean_Data!$J$2:$J$200,Dash_Calc!C79))</f>
        <v>Initial Contact</v>
      </c>
      <c r="F72" s="80"/>
      <c r="G72" s="80" t="str">
        <f>IF(Dash_Calc!C79="","",INDEX(Clean_Data!$K$2:$K$200,Dash_Calc!C79))</f>
        <v>Arjun Mehta</v>
      </c>
      <c r="H72" s="80"/>
      <c r="I72" s="23">
        <f>IF(Dash_Calc!D79="","",Dash_Calc!D79)</f>
        <v>77</v>
      </c>
      <c r="J72" s="21">
        <v>10</v>
      </c>
      <c r="K72" s="80" t="str">
        <f>IF(Dash_Calc!G79="","",INDEX(Clean_Data!$B$2:$B$200,Dash_Calc!G79))</f>
        <v>Indonesia</v>
      </c>
      <c r="L72" s="80"/>
      <c r="M72" s="80" t="str">
        <f>IF(Dash_Calc!G79="","",INDEX(Clean_Data!$J$2:$J$200,Dash_Calc!G79))</f>
        <v>Initial Contact</v>
      </c>
      <c r="N72" s="80"/>
      <c r="O72" s="80" t="str">
        <f>IF(Dash_Calc!G79="","",INDEX(Clean_Data!$K$2:$K$200,Dash_Calc!G79))</f>
        <v>Unassigned</v>
      </c>
      <c r="P72" s="80"/>
      <c r="Q72" s="23">
        <f>IF(Dash_Calc!H79="","",Dash_Calc!H79)</f>
        <v>128</v>
      </c>
    </row>
    <row r="73" spans="2:17" ht="7.5" customHeight="1" x14ac:dyDescent="0.35"/>
    <row r="74" spans="2:17" ht="19.5" customHeight="1" x14ac:dyDescent="0.35">
      <c r="B74" s="72" t="s">
        <v>28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</row>
    <row r="75" spans="2:17" x14ac:dyDescent="0.35">
      <c r="B75" s="81" t="s">
        <v>29</v>
      </c>
      <c r="C75" s="81"/>
      <c r="D75" s="81"/>
      <c r="E75" s="81"/>
      <c r="F75" s="81"/>
      <c r="G75" s="81"/>
      <c r="H75" s="15" t="s">
        <v>30</v>
      </c>
      <c r="I75" s="15" t="s">
        <v>31</v>
      </c>
      <c r="J75" s="81" t="s">
        <v>32</v>
      </c>
      <c r="K75" s="81"/>
      <c r="L75" s="81"/>
      <c r="M75" s="81"/>
      <c r="N75" s="81"/>
      <c r="O75" s="81"/>
      <c r="P75" s="81"/>
      <c r="Q75" s="81"/>
    </row>
    <row r="76" spans="2:17" ht="16.5" customHeight="1" x14ac:dyDescent="0.35">
      <c r="B76" s="82" t="str">
        <f>Dash_Calc!A84</f>
        <v>Embassies with no owner assigned</v>
      </c>
      <c r="C76" s="82"/>
      <c r="D76" s="82"/>
      <c r="E76" s="82"/>
      <c r="F76" s="82"/>
      <c r="G76" s="82"/>
      <c r="H76" s="24">
        <f>Dash_Calc!B84</f>
        <v>8</v>
      </c>
      <c r="I76" s="25">
        <f>Dash_Calc!C84</f>
        <v>9.5238095238095233E-2</v>
      </c>
      <c r="J76" s="83" t="str">
        <f>"•  Active = Initial Contact, In Discussion, Meeting Scheduled or Engaged (editable on Dash_Calc)."</f>
        <v>•  Active = Initial Contact, In Discussion, Meeting Scheduled or Engaged (editable on Dash_Calc).</v>
      </c>
      <c r="K76" s="83"/>
      <c r="L76" s="83"/>
      <c r="M76" s="83"/>
      <c r="N76" s="83"/>
      <c r="O76" s="83"/>
      <c r="P76" s="83"/>
      <c r="Q76" s="83"/>
    </row>
    <row r="77" spans="2:17" ht="16.5" customHeight="1" x14ac:dyDescent="0.35">
      <c r="B77" s="82" t="str">
        <f>Dash_Calc!A85</f>
        <v>Email missing or invalid</v>
      </c>
      <c r="C77" s="82"/>
      <c r="D77" s="82"/>
      <c r="E77" s="82"/>
      <c r="F77" s="82"/>
      <c r="G77" s="82"/>
      <c r="H77" s="24">
        <f>Dash_Calc!B85</f>
        <v>13</v>
      </c>
      <c r="I77" s="25">
        <f>Dash_Calc!C85</f>
        <v>0.15476190476190477</v>
      </c>
      <c r="J77" s="83" t="str">
        <f>"•  Overdue = active embassy whose next follow-up date is before "&amp;TEXT(Settings!B2,"dd mmm yyyy")&amp;"."</f>
        <v>•  Overdue = active embassy whose next follow-up date is before 06 Oct 2026.</v>
      </c>
      <c r="K77" s="83"/>
      <c r="L77" s="83"/>
      <c r="M77" s="83"/>
      <c r="N77" s="83"/>
      <c r="O77" s="83"/>
      <c r="P77" s="83"/>
      <c r="Q77" s="83"/>
    </row>
    <row r="78" spans="2:17" ht="16.5" customHeight="1" x14ac:dyDescent="0.35">
      <c r="B78" s="82" t="str">
        <f>Dash_Calc!A86</f>
        <v>Phone missing or invalid</v>
      </c>
      <c r="C78" s="82"/>
      <c r="D78" s="82"/>
      <c r="E78" s="82"/>
      <c r="F78" s="82"/>
      <c r="G78" s="82"/>
      <c r="H78" s="24">
        <f>Dash_Calc!B86</f>
        <v>12</v>
      </c>
      <c r="I78" s="25">
        <f>Dash_Calc!C86</f>
        <v>0.14285714285714285</v>
      </c>
      <c r="J78" s="83" t="str">
        <f>"•  Silent = active embassy with no contact for more than "&amp;Settings!B3&amp;" days (future-dated contacts excluded)."</f>
        <v>•  Silent = active embassy with no contact for more than 90 days (future-dated contacts excluded).</v>
      </c>
      <c r="K78" s="83"/>
      <c r="L78" s="83"/>
      <c r="M78" s="83"/>
      <c r="N78" s="83"/>
      <c r="O78" s="83"/>
      <c r="P78" s="83"/>
      <c r="Q78" s="83"/>
    </row>
    <row r="79" spans="2:17" ht="16.5" customHeight="1" x14ac:dyDescent="0.35">
      <c r="B79" s="82" t="str">
        <f>Dash_Calc!A87</f>
        <v>Status conflicts with recorded activity</v>
      </c>
      <c r="C79" s="82"/>
      <c r="D79" s="82"/>
      <c r="E79" s="82"/>
      <c r="F79" s="82"/>
      <c r="G79" s="82"/>
      <c r="H79" s="24">
        <f>Dash_Calc!B87</f>
        <v>7</v>
      </c>
      <c r="I79" s="25">
        <f>Dash_Calc!C87</f>
        <v>8.3333333333333329E-2</v>
      </c>
      <c r="J79" s="83" t="str">
        <f>"•  Engaged % = Engaged status / all embassies in the region; Overdue % = overdue / active."</f>
        <v>•  Engaged % = Engaged status / all embassies in the region; Overdue % = overdue / active.</v>
      </c>
      <c r="K79" s="83"/>
      <c r="L79" s="83"/>
      <c r="M79" s="83"/>
      <c r="N79" s="83"/>
      <c r="O79" s="83"/>
      <c r="P79" s="83"/>
      <c r="Q79" s="83"/>
    </row>
    <row r="80" spans="2:17" ht="16.5" customHeight="1" x14ac:dyDescent="0.35">
      <c r="B80" s="82" t="str">
        <f>Dash_Calc!A88</f>
        <v>Date anomalies (order / future / follow-up before contact)</v>
      </c>
      <c r="C80" s="82"/>
      <c r="D80" s="82"/>
      <c r="E80" s="82"/>
      <c r="F80" s="82"/>
      <c r="G80" s="82"/>
      <c r="H80" s="24">
        <f>Dash_Calc!B88</f>
        <v>7</v>
      </c>
      <c r="I80" s="25">
        <f>Dash_Calc!C88</f>
        <v>8.3333333333333329E-2</v>
      </c>
      <c r="J80" s="83" t="str">
        <f>"•  Change the as-of date or silent threshold on the Settings sheet - every number and chart updates."</f>
        <v>•  Change the as-of date or silent threshold on the Settings sheet - every number and chart updates.</v>
      </c>
      <c r="K80" s="83"/>
      <c r="L80" s="83"/>
      <c r="M80" s="83"/>
      <c r="N80" s="83"/>
      <c r="O80" s="83"/>
      <c r="P80" s="83"/>
      <c r="Q80" s="83"/>
    </row>
    <row r="81" spans="2:17" ht="16.5" customHeight="1" x14ac:dyDescent="0.35">
      <c r="B81" s="82" t="str">
        <f>Dash_Calc!A89</f>
        <v>Active embassy with no follow-up scheduled</v>
      </c>
      <c r="C81" s="82"/>
      <c r="D81" s="82"/>
      <c r="E81" s="82"/>
      <c r="F81" s="82"/>
      <c r="G81" s="82"/>
      <c r="H81" s="24">
        <f>Dash_Calc!B89</f>
        <v>7</v>
      </c>
      <c r="I81" s="25">
        <f>Dash_Calc!C89</f>
        <v>8.3333333333333329E-2</v>
      </c>
      <c r="J81" s="83" t="str">
        <f>"•  Records flagged for review stay in the data as recorded; see Cleaning_Log for every change made."</f>
        <v>•  Records flagged for review stay in the data as recorded; see Cleaning_Log for every change made.</v>
      </c>
      <c r="K81" s="83"/>
      <c r="L81" s="83"/>
      <c r="M81" s="83"/>
      <c r="N81" s="83"/>
      <c r="O81" s="83"/>
      <c r="P81" s="83"/>
      <c r="Q81" s="83"/>
    </row>
    <row r="82" spans="2:17" ht="16.5" customHeight="1" x14ac:dyDescent="0.35">
      <c r="B82" s="82" t="str">
        <f>Dash_Calc!A90</f>
        <v>Engagement level not recorded (outreach started)</v>
      </c>
      <c r="C82" s="82"/>
      <c r="D82" s="82"/>
      <c r="E82" s="82"/>
      <c r="F82" s="82"/>
      <c r="G82" s="82"/>
      <c r="H82" s="24">
        <f>Dash_Calc!B90</f>
        <v>10</v>
      </c>
      <c r="I82" s="25">
        <f>Dash_Calc!C90</f>
        <v>0.11904761904761904</v>
      </c>
      <c r="J82" s="83" t="str">
        <f>"•  Not Started embassies show no engagement or channel by design (N/A), not as a data gap."</f>
        <v>•  Not Started embassies show no engagement or channel by design (N/A), not as a data gap.</v>
      </c>
      <c r="K82" s="83"/>
      <c r="L82" s="83"/>
      <c r="M82" s="83"/>
      <c r="N82" s="83"/>
      <c r="O82" s="83"/>
      <c r="P82" s="83"/>
      <c r="Q82" s="83"/>
    </row>
    <row r="83" spans="2:17" ht="16.5" customHeight="1" x14ac:dyDescent="0.35">
      <c r="B83" s="82" t="str">
        <f>Dash_Calc!A91</f>
        <v>Interaction count missing or negative</v>
      </c>
      <c r="C83" s="82"/>
      <c r="D83" s="82"/>
      <c r="E83" s="82"/>
      <c r="F83" s="82"/>
      <c r="G83" s="82"/>
      <c r="H83" s="24">
        <f>Dash_Calc!B91</f>
        <v>5</v>
      </c>
      <c r="I83" s="25">
        <f>Dash_Calc!C91</f>
        <v>5.9523809523809521E-2</v>
      </c>
      <c r="J83" s="83" t="str">
        <f>"•  Small regions (e.g. South &amp; Central Asia, n=7) swing easily - read percentages alongside counts."</f>
        <v>•  Small regions (e.g. South &amp; Central Asia, n=7) swing easily - read percentages alongside counts.</v>
      </c>
      <c r="K83" s="83"/>
      <c r="L83" s="83"/>
      <c r="M83" s="83"/>
      <c r="N83" s="83"/>
      <c r="O83" s="83"/>
      <c r="P83" s="83"/>
      <c r="Q83" s="83"/>
    </row>
    <row r="84" spans="2:17" ht="16.5" customHeight="1" x14ac:dyDescent="0.35">
      <c r="B84" s="82" t="str">
        <f>Dash_Calc!A92</f>
        <v>Near-duplicate records kept for confirmation</v>
      </c>
      <c r="C84" s="82"/>
      <c r="D84" s="82"/>
      <c r="E84" s="82"/>
      <c r="F84" s="82"/>
      <c r="G84" s="82"/>
      <c r="H84" s="24">
        <f>Dash_Calc!B92</f>
        <v>3</v>
      </c>
      <c r="I84" s="25">
        <f>Dash_Calc!C92</f>
        <v>3.5714285714285712E-2</v>
      </c>
      <c r="J84" s="84"/>
      <c r="K84" s="84"/>
      <c r="L84" s="84"/>
      <c r="M84" s="84"/>
      <c r="N84" s="84"/>
      <c r="O84" s="84"/>
      <c r="P84" s="84"/>
      <c r="Q84" s="84"/>
    </row>
    <row r="85" spans="2:17" ht="16.5" customHeight="1" x14ac:dyDescent="0.35">
      <c r="B85" s="85" t="str">
        <f>Dash_Calc!A93</f>
        <v>Records needing at least one review action</v>
      </c>
      <c r="C85" s="85"/>
      <c r="D85" s="85"/>
      <c r="E85" s="85"/>
      <c r="F85" s="85"/>
      <c r="G85" s="85"/>
      <c r="H85" s="26">
        <f>Dash_Calc!B93</f>
        <v>53</v>
      </c>
      <c r="I85" s="27">
        <f>Dash_Calc!C93</f>
        <v>0.63095238095238093</v>
      </c>
      <c r="J85" s="84"/>
      <c r="K85" s="84"/>
      <c r="L85" s="84"/>
      <c r="M85" s="84"/>
      <c r="N85" s="84"/>
      <c r="O85" s="84"/>
      <c r="P85" s="84"/>
      <c r="Q85" s="84"/>
    </row>
    <row r="86" spans="2:17" ht="7.5" customHeight="1" x14ac:dyDescent="0.35"/>
    <row r="87" spans="2:17" x14ac:dyDescent="0.35">
      <c r="B87" s="86" t="s">
        <v>33</v>
      </c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</row>
  </sheetData>
  <mergeCells count="143">
    <mergeCell ref="B87:Q87"/>
    <mergeCell ref="B81:G81"/>
    <mergeCell ref="J81:Q81"/>
    <mergeCell ref="B82:G82"/>
    <mergeCell ref="J82:Q82"/>
    <mergeCell ref="B83:G83"/>
    <mergeCell ref="J83:Q83"/>
    <mergeCell ref="B84:G84"/>
    <mergeCell ref="J84:Q85"/>
    <mergeCell ref="B85:G85"/>
    <mergeCell ref="B76:G76"/>
    <mergeCell ref="J76:Q76"/>
    <mergeCell ref="B77:G77"/>
    <mergeCell ref="J77:Q77"/>
    <mergeCell ref="B78:G78"/>
    <mergeCell ref="J78:Q78"/>
    <mergeCell ref="B79:G79"/>
    <mergeCell ref="J79:Q79"/>
    <mergeCell ref="B80:G80"/>
    <mergeCell ref="J80:Q80"/>
    <mergeCell ref="C72:D72"/>
    <mergeCell ref="E72:F72"/>
    <mergeCell ref="G72:H72"/>
    <mergeCell ref="K72:L72"/>
    <mergeCell ref="M72:N72"/>
    <mergeCell ref="O72:P72"/>
    <mergeCell ref="B74:Q74"/>
    <mergeCell ref="B75:G75"/>
    <mergeCell ref="J75:Q75"/>
    <mergeCell ref="C70:D70"/>
    <mergeCell ref="E70:F70"/>
    <mergeCell ref="G70:H70"/>
    <mergeCell ref="K70:L70"/>
    <mergeCell ref="M70:N70"/>
    <mergeCell ref="O70:P70"/>
    <mergeCell ref="C71:D71"/>
    <mergeCell ref="E71:F71"/>
    <mergeCell ref="G71:H71"/>
    <mergeCell ref="K71:L71"/>
    <mergeCell ref="M71:N71"/>
    <mergeCell ref="O71:P71"/>
    <mergeCell ref="C68:D68"/>
    <mergeCell ref="E68:F68"/>
    <mergeCell ref="G68:H68"/>
    <mergeCell ref="K68:L68"/>
    <mergeCell ref="M68:N68"/>
    <mergeCell ref="O68:P68"/>
    <mergeCell ref="C69:D69"/>
    <mergeCell ref="E69:F69"/>
    <mergeCell ref="G69:H69"/>
    <mergeCell ref="K69:L69"/>
    <mergeCell ref="M69:N69"/>
    <mergeCell ref="O69:P69"/>
    <mergeCell ref="C66:D66"/>
    <mergeCell ref="E66:F66"/>
    <mergeCell ref="G66:H66"/>
    <mergeCell ref="K66:L66"/>
    <mergeCell ref="M66:N66"/>
    <mergeCell ref="O66:P66"/>
    <mergeCell ref="C67:D67"/>
    <mergeCell ref="E67:F67"/>
    <mergeCell ref="G67:H67"/>
    <mergeCell ref="K67:L67"/>
    <mergeCell ref="M67:N67"/>
    <mergeCell ref="O67:P67"/>
    <mergeCell ref="C64:D64"/>
    <mergeCell ref="E64:F64"/>
    <mergeCell ref="G64:H64"/>
    <mergeCell ref="K64:L64"/>
    <mergeCell ref="M64:N64"/>
    <mergeCell ref="O64:P64"/>
    <mergeCell ref="C65:D65"/>
    <mergeCell ref="E65:F65"/>
    <mergeCell ref="G65:H65"/>
    <mergeCell ref="K65:L65"/>
    <mergeCell ref="M65:N65"/>
    <mergeCell ref="O65:P65"/>
    <mergeCell ref="C62:D62"/>
    <mergeCell ref="E62:F62"/>
    <mergeCell ref="G62:H62"/>
    <mergeCell ref="K62:L62"/>
    <mergeCell ref="M62:N62"/>
    <mergeCell ref="O62:P62"/>
    <mergeCell ref="C63:D63"/>
    <mergeCell ref="E63:F63"/>
    <mergeCell ref="G63:H63"/>
    <mergeCell ref="K63:L63"/>
    <mergeCell ref="M63:N63"/>
    <mergeCell ref="O63:P63"/>
    <mergeCell ref="B39:C39"/>
    <mergeCell ref="K39:L39"/>
    <mergeCell ref="B40:C40"/>
    <mergeCell ref="K40:L40"/>
    <mergeCell ref="K41:L41"/>
    <mergeCell ref="B43:Q43"/>
    <mergeCell ref="B60:Q60"/>
    <mergeCell ref="B61:I61"/>
    <mergeCell ref="J61:Q61"/>
    <mergeCell ref="B34:C34"/>
    <mergeCell ref="K34:L34"/>
    <mergeCell ref="B35:C35"/>
    <mergeCell ref="K35:L35"/>
    <mergeCell ref="B36:C36"/>
    <mergeCell ref="K36:L36"/>
    <mergeCell ref="B37:C37"/>
    <mergeCell ref="K37:L37"/>
    <mergeCell ref="B38:C38"/>
    <mergeCell ref="K38:L38"/>
    <mergeCell ref="B9:Q9"/>
    <mergeCell ref="B10:Q10"/>
    <mergeCell ref="B11:Q11"/>
    <mergeCell ref="B12:Q12"/>
    <mergeCell ref="B13:Q13"/>
    <mergeCell ref="B15:Q15"/>
    <mergeCell ref="B32:Q32"/>
    <mergeCell ref="B33:C33"/>
    <mergeCell ref="K33:L33"/>
    <mergeCell ref="B5:C6"/>
    <mergeCell ref="D5:E6"/>
    <mergeCell ref="F5:G6"/>
    <mergeCell ref="H5:I6"/>
    <mergeCell ref="J5:K6"/>
    <mergeCell ref="L5:M6"/>
    <mergeCell ref="N5:O6"/>
    <mergeCell ref="P5:Q6"/>
    <mergeCell ref="B7:C7"/>
    <mergeCell ref="D7:E7"/>
    <mergeCell ref="F7:G7"/>
    <mergeCell ref="H7:I7"/>
    <mergeCell ref="J7:K7"/>
    <mergeCell ref="L7:M7"/>
    <mergeCell ref="N7:O7"/>
    <mergeCell ref="P7:Q7"/>
    <mergeCell ref="B1:Q1"/>
    <mergeCell ref="B2:Q2"/>
    <mergeCell ref="B4:C4"/>
    <mergeCell ref="D4:E4"/>
    <mergeCell ref="F4:G4"/>
    <mergeCell ref="H4:I4"/>
    <mergeCell ref="J4:K4"/>
    <mergeCell ref="L4:M4"/>
    <mergeCell ref="N4:O4"/>
    <mergeCell ref="P4:Q4"/>
  </mergeCells>
  <conditionalFormatting sqref="G34:G39">
    <cfRule type="dataBar" priority="2">
      <dataBar>
        <cfvo type="num" val="0"/>
        <cfvo type="num" val="0.5"/>
        <color rgb="FF70AD47"/>
      </dataBar>
      <extLst>
        <ext xmlns:x14="http://schemas.microsoft.com/office/spreadsheetml/2009/9/main" uri="{B025F937-C7B1-47D3-B67F-A62EFF666E3E}">
          <x14:id>{309093D4-42A8-4E71-B179-90C3944635D2}</x14:id>
        </ext>
      </extLst>
    </cfRule>
  </conditionalFormatting>
  <conditionalFormatting sqref="I34:I39">
    <cfRule type="colorScale" priority="3">
      <colorScale>
        <cfvo type="num" val="0"/>
        <cfvo type="num" val="1"/>
        <color rgb="FFFFFFFF"/>
        <color rgb="FFF4B183"/>
      </colorScale>
    </cfRule>
  </conditionalFormatting>
  <conditionalFormatting sqref="I63:I72">
    <cfRule type="cellIs" dxfId="9" priority="8" operator="greaterThan">
      <formula>90</formula>
    </cfRule>
  </conditionalFormatting>
  <conditionalFormatting sqref="I76:I84">
    <cfRule type="dataBar" priority="10">
      <dataBar>
        <cfvo type="num" val="0"/>
        <cfvo type="num" val="0.5"/>
        <color rgb="FFF4B183"/>
      </dataBar>
      <extLst>
        <ext xmlns:x14="http://schemas.microsoft.com/office/spreadsheetml/2009/9/main" uri="{B025F937-C7B1-47D3-B67F-A62EFF666E3E}">
          <x14:id>{C3E7BFF9-EEE6-4A90-A620-605779FE6FFF}</x14:id>
        </ext>
      </extLst>
    </cfRule>
  </conditionalFormatting>
  <conditionalFormatting sqref="J34:J39">
    <cfRule type="cellIs" dxfId="8" priority="6" operator="greaterThan">
      <formula>2</formula>
    </cfRule>
  </conditionalFormatting>
  <conditionalFormatting sqref="K40">
    <cfRule type="expression" dxfId="7" priority="7">
      <formula>$K$40="Unassigned"</formula>
    </cfRule>
  </conditionalFormatting>
  <conditionalFormatting sqref="P34:P40">
    <cfRule type="colorScale" priority="4">
      <colorScale>
        <cfvo type="num" val="0"/>
        <cfvo type="num" val="1"/>
        <color rgb="FFFFFFFF"/>
        <color rgb="FFF4B183"/>
      </colorScale>
    </cfRule>
  </conditionalFormatting>
  <conditionalFormatting sqref="Q34:Q40">
    <cfRule type="cellIs" dxfId="6" priority="5" operator="greaterThan">
      <formula>2</formula>
    </cfRule>
  </conditionalFormatting>
  <conditionalFormatting sqref="Q63:Q72">
    <cfRule type="cellIs" dxfId="5" priority="9" operator="greaterThan">
      <formula>180</formula>
    </cfRule>
  </conditionalFormatting>
  <printOptions horizontalCentered="1"/>
  <pageMargins left="0.3" right="0.3" top="0.4" bottom="0.4" header="0.511811023622047" footer="0.511811023622047"/>
  <pageSetup fitToHeight="0" orientation="portrait" horizontalDpi="300" verticalDpi="300"/>
  <rowBreaks count="1" manualBreakCount="1">
    <brk id="42" max="16383" man="1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9093D4-42A8-4E71-B179-90C3944635D2}">
            <x14:dataBar axisPosition="none">
              <x14:cfvo type="num">
                <xm:f>0</xm:f>
              </x14:cfvo>
              <x14:cfvo type="num">
                <xm:f>0.5</xm:f>
              </x14:cfvo>
              <x14:negativeFillColor rgb="FF70AD47"/>
            </x14:dataBar>
          </x14:cfRule>
          <xm:sqref>G34:G39</xm:sqref>
        </x14:conditionalFormatting>
        <x14:conditionalFormatting xmlns:xm="http://schemas.microsoft.com/office/excel/2006/main">
          <x14:cfRule type="dataBar" id="{C3E7BFF9-EEE6-4A90-A620-605779FE6FFF}">
            <x14:dataBar axisPosition="none">
              <x14:cfvo type="num">
                <xm:f>0</xm:f>
              </x14:cfvo>
              <x14:cfvo type="num">
                <xm:f>0.5</xm:f>
              </x14:cfvo>
              <x14:negativeFillColor rgb="FFF4B183"/>
            </x14:dataBar>
          </x14:cfRule>
          <xm:sqref>I76:I84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B1:J68"/>
  <sheetViews>
    <sheetView showGridLines="0" zoomScale="90" zoomScaleNormal="90" workbookViewId="0">
      <pane ySplit="3" topLeftCell="A57" activePane="bottomLeft" state="frozen"/>
      <selection pane="bottomLeft"/>
    </sheetView>
  </sheetViews>
  <sheetFormatPr defaultColWidth="8.6328125" defaultRowHeight="14.5" x14ac:dyDescent="0.35"/>
  <cols>
    <col min="1" max="1" width="2" customWidth="1"/>
    <col min="2" max="2" width="5" customWidth="1"/>
    <col min="3" max="3" width="30" customWidth="1"/>
    <col min="4" max="4" width="46" customWidth="1"/>
    <col min="5" max="5" width="16" customWidth="1"/>
    <col min="6" max="7" width="11" customWidth="1"/>
    <col min="8" max="8" width="52" customWidth="1"/>
    <col min="9" max="9" width="36" customWidth="1"/>
    <col min="10" max="10" width="44" customWidth="1"/>
    <col min="11" max="11" width="2" customWidth="1"/>
  </cols>
  <sheetData>
    <row r="1" spans="2:10" ht="36" customHeight="1" x14ac:dyDescent="0.35">
      <c r="B1" s="14" t="s">
        <v>34</v>
      </c>
      <c r="C1" s="14"/>
      <c r="D1" s="14"/>
      <c r="E1" s="14"/>
      <c r="F1" s="14"/>
      <c r="G1" s="14"/>
      <c r="H1" s="14"/>
      <c r="I1" s="14"/>
      <c r="J1" s="14"/>
    </row>
    <row r="2" spans="2:10" ht="18" customHeight="1" x14ac:dyDescent="0.35">
      <c r="B2" s="13" t="str">
        <f>"Scope: Embassy Outreach Database  |  "&amp;COUNTA(Raw_Data!$B$2:$B$300)&amp;" raw rows reviewed  |  "&amp;COUNTA(Clean_Data!$A$2:$A$200)&amp;" unique records after cleaning  |  Reporting date: "&amp;TEXT(Settings!B2,"dd mmm yyyy")&amp;"  |  Detail of every change: Cleaning_Log, Removed_Rows"</f>
        <v>Scope: Embassy Outreach Database  |  91 raw rows reviewed  |  84 unique records after cleaning  |  Reporting date: 06 Oct 2026  |  Detail of every change: Cleaning_Log, Removed_Rows</v>
      </c>
      <c r="C2" s="13"/>
      <c r="D2" s="13"/>
      <c r="E2" s="13"/>
      <c r="F2" s="13"/>
      <c r="G2" s="13"/>
      <c r="H2" s="13"/>
      <c r="I2" s="13"/>
      <c r="J2" s="13"/>
    </row>
    <row r="3" spans="2:10" ht="7.5" customHeight="1" x14ac:dyDescent="0.35"/>
    <row r="4" spans="2:10" ht="19.5" customHeight="1" x14ac:dyDescent="0.35">
      <c r="B4" s="72" t="s">
        <v>35</v>
      </c>
      <c r="C4" s="72"/>
      <c r="D4" s="72"/>
      <c r="E4" s="72"/>
      <c r="F4" s="72"/>
      <c r="G4" s="72"/>
      <c r="H4" s="72"/>
      <c r="I4" s="72"/>
      <c r="J4" s="72"/>
    </row>
    <row r="5" spans="2:10" ht="30" customHeight="1" x14ac:dyDescent="0.35">
      <c r="B5" s="87" t="str">
        <f>"1.  Duplicates: "&amp;COUNTA(Removed_Rows!$A$2:$A$100)&amp;" rows removed (exact and near-duplicates); 3 original records kept but the contact needs confirming. Left in, they would have overstated the embassy count and the Engaged total."</f>
        <v>1.  Duplicates: 7 rows removed (exact and near-duplicates); 3 original records kept but the contact needs confirming. Left in, they would have overstated the embassy count and the Engaged total.</v>
      </c>
      <c r="C5" s="87"/>
      <c r="D5" s="87"/>
      <c r="E5" s="87"/>
      <c r="F5" s="87"/>
      <c r="G5" s="87"/>
      <c r="H5" s="87"/>
      <c r="I5" s="87"/>
      <c r="J5" s="87"/>
    </row>
    <row r="6" spans="2:10" ht="30" customHeight="1" x14ac:dyDescent="0.35">
      <c r="B6" s="87" t="str">
        <f>"2.  Reliability: "&amp;Dash_Calc!B93&amp;" of "&amp;Dash_Calc!B99&amp;" records ("&amp;TEXT(Dash_Calc!B93/Dash_Calc!B99,"0%")&amp;") still carry at least one gap or conflict that needs owner confirmation. Dashboard figures are indicative until these are resolved."</f>
        <v>2.  Reliability: 53 of 84 records (63%) still carry at least one gap or conflict that needs owner confirmation. Dashboard figures are indicative until these are resolved.</v>
      </c>
      <c r="C6" s="87"/>
      <c r="D6" s="87"/>
      <c r="E6" s="87"/>
      <c r="F6" s="87"/>
      <c r="G6" s="87"/>
      <c r="H6" s="87"/>
      <c r="I6" s="87"/>
      <c r="J6" s="87"/>
    </row>
    <row r="7" spans="2:10" ht="30" customHeight="1" x14ac:dyDescent="0.35">
      <c r="B7" s="87" t="str">
        <f>"3.  Highest-impact gaps: "&amp;Dash_Calc!B84&amp;" embassies with no owner, "&amp;Dash_Calc!B89&amp;" active embassies with no follow-up date, "&amp;Dash_Calc!B87&amp;" status-vs-activity conflicts and "&amp;Dash_Calc!B88&amp;" records with impossible or future dates. These directly affect overdue / silent monitoring and accountability."</f>
        <v>3.  Highest-impact gaps: 8 embassies with no owner, 7 active embassies with no follow-up date, 7 status-vs-activity conflicts and 7 records with impossible or future dates. These directly affect overdue / silent monitoring and accountability.</v>
      </c>
      <c r="C7" s="87"/>
      <c r="D7" s="87"/>
      <c r="E7" s="87"/>
      <c r="F7" s="87"/>
      <c r="G7" s="87"/>
      <c r="H7" s="87"/>
      <c r="I7" s="87"/>
      <c r="J7" s="87"/>
    </row>
    <row r="8" spans="2:10" ht="30" customHeight="1" x14ac:dyDescent="0.35">
      <c r="B8" s="87" t="str">
        <f>"4.  Root cause: the source file has no controlled inputs - "&amp;15&amp;" spellings of 7 statuses, 10 region spellings, text dates and blank mandatory fields all came from free-text entry. Fixing entry (drop-downs, mandatory fields, date validation) matters more than repeated clean-ups."</f>
        <v>4.  Root cause: the source file has no controlled inputs - 15 spellings of 7 statuses, 10 region spellings, text dates and blank mandatory fields all came from free-text entry. Fixing entry (drop-downs, mandatory fields, date validation) matters more than repeated clean-ups.</v>
      </c>
      <c r="C8" s="87"/>
      <c r="D8" s="87"/>
      <c r="E8" s="87"/>
      <c r="F8" s="87"/>
      <c r="G8" s="87"/>
      <c r="H8" s="87"/>
      <c r="I8" s="87"/>
      <c r="J8" s="87"/>
    </row>
    <row r="9" spans="2:10" ht="7.5" customHeight="1" x14ac:dyDescent="0.35"/>
    <row r="10" spans="2:10" ht="19.5" customHeight="1" x14ac:dyDescent="0.35">
      <c r="B10" s="72" t="s">
        <v>36</v>
      </c>
      <c r="C10" s="72"/>
      <c r="D10" s="72"/>
      <c r="E10" s="72"/>
      <c r="F10" s="72"/>
      <c r="G10" s="72"/>
      <c r="H10" s="72"/>
      <c r="I10" s="72"/>
      <c r="J10" s="72"/>
    </row>
    <row r="11" spans="2:10" ht="15" customHeight="1" x14ac:dyDescent="0.35">
      <c r="B11" s="81" t="s">
        <v>37</v>
      </c>
      <c r="C11" s="81"/>
      <c r="D11" s="15" t="s">
        <v>38</v>
      </c>
      <c r="E11" s="15" t="s">
        <v>39</v>
      </c>
      <c r="F11" s="15" t="s">
        <v>40</v>
      </c>
      <c r="G11" s="15" t="s">
        <v>41</v>
      </c>
      <c r="H11" s="88" t="s">
        <v>42</v>
      </c>
      <c r="I11" s="88"/>
      <c r="J11" s="88"/>
    </row>
    <row r="12" spans="2:10" x14ac:dyDescent="0.35">
      <c r="B12" s="80" t="s">
        <v>43</v>
      </c>
      <c r="C12" s="80"/>
      <c r="D12" s="22" t="s">
        <v>44</v>
      </c>
      <c r="E12" s="28">
        <f>COUNTA(Clean_Data!$C$2:$C$200)</f>
        <v>84</v>
      </c>
      <c r="F12" s="28">
        <f>Dash_Calc!B99</f>
        <v>84</v>
      </c>
      <c r="G12" s="29">
        <f t="shared" ref="G12:G19" si="0">IF(F12=0,0,E12/F12)</f>
        <v>1</v>
      </c>
      <c r="H12" s="88"/>
      <c r="I12" s="88"/>
      <c r="J12" s="88"/>
    </row>
    <row r="13" spans="2:10" x14ac:dyDescent="0.35">
      <c r="B13" s="80" t="s">
        <v>45</v>
      </c>
      <c r="C13" s="80"/>
      <c r="D13" s="22" t="s">
        <v>44</v>
      </c>
      <c r="E13" s="28">
        <f>Dash_Calc!B99-COUNTIF(Clean_Data!$K$2:$K$200,"Unassigned")</f>
        <v>76</v>
      </c>
      <c r="F13" s="28">
        <f>Dash_Calc!B99</f>
        <v>84</v>
      </c>
      <c r="G13" s="29">
        <f t="shared" si="0"/>
        <v>0.90476190476190477</v>
      </c>
      <c r="H13" s="88"/>
      <c r="I13" s="88"/>
      <c r="J13" s="88"/>
    </row>
    <row r="14" spans="2:10" x14ac:dyDescent="0.35">
      <c r="B14" s="80" t="s">
        <v>46</v>
      </c>
      <c r="C14" s="80"/>
      <c r="D14" s="22" t="s">
        <v>44</v>
      </c>
      <c r="E14" s="28">
        <f>COUNTIF(Clean_Data!$G$2:$G$200,"Yes")</f>
        <v>71</v>
      </c>
      <c r="F14" s="28">
        <f>Dash_Calc!B99</f>
        <v>84</v>
      </c>
      <c r="G14" s="29">
        <f t="shared" si="0"/>
        <v>0.84523809523809523</v>
      </c>
      <c r="H14" s="88"/>
      <c r="I14" s="88"/>
      <c r="J14" s="88"/>
    </row>
    <row r="15" spans="2:10" x14ac:dyDescent="0.35">
      <c r="B15" s="80" t="s">
        <v>47</v>
      </c>
      <c r="C15" s="80"/>
      <c r="D15" s="22" t="s">
        <v>44</v>
      </c>
      <c r="E15" s="28">
        <f>COUNTIF(Clean_Data!$I$2:$I$200,"Yes")</f>
        <v>72</v>
      </c>
      <c r="F15" s="28">
        <f>Dash_Calc!B99</f>
        <v>84</v>
      </c>
      <c r="G15" s="29">
        <f t="shared" si="0"/>
        <v>0.8571428571428571</v>
      </c>
      <c r="H15" s="88"/>
      <c r="I15" s="88"/>
      <c r="J15" s="88"/>
    </row>
    <row r="16" spans="2:10" x14ac:dyDescent="0.35">
      <c r="B16" s="80" t="s">
        <v>48</v>
      </c>
      <c r="C16" s="80"/>
      <c r="D16" s="22" t="s">
        <v>44</v>
      </c>
      <c r="E16" s="28">
        <f>COUNT(Clean_Data!$O$2:$O$200)</f>
        <v>77</v>
      </c>
      <c r="F16" s="28">
        <f>Dash_Calc!B99</f>
        <v>84</v>
      </c>
      <c r="G16" s="29">
        <f t="shared" si="0"/>
        <v>0.91666666666666663</v>
      </c>
      <c r="H16" s="88"/>
      <c r="I16" s="88"/>
      <c r="J16" s="88"/>
    </row>
    <row r="17" spans="2:10" x14ac:dyDescent="0.35">
      <c r="B17" s="80" t="s">
        <v>49</v>
      </c>
      <c r="C17" s="80"/>
      <c r="D17" s="22" t="s">
        <v>50</v>
      </c>
      <c r="E17" s="28">
        <f>COUNTIFS(Clean_Data!$J$2:$J$200,"&lt;&gt;Not Started",Clean_Data!$M$2:$M$200,"&lt;&gt;")</f>
        <v>70</v>
      </c>
      <c r="F17" s="28">
        <f>(Dash_Calc!B99-Dash_Calc!B102)</f>
        <v>74</v>
      </c>
      <c r="G17" s="29">
        <f t="shared" si="0"/>
        <v>0.94594594594594594</v>
      </c>
      <c r="H17" s="88"/>
      <c r="I17" s="88"/>
      <c r="J17" s="88"/>
    </row>
    <row r="18" spans="2:10" x14ac:dyDescent="0.35">
      <c r="B18" s="80" t="s">
        <v>51</v>
      </c>
      <c r="C18" s="80"/>
      <c r="D18" s="22" t="s">
        <v>50</v>
      </c>
      <c r="E18" s="28">
        <f>(Dash_Calc!B99-Dash_Calc!B102)-COUNTIF(Clean_Data!$P$2:$P$200,"Not Recorded")</f>
        <v>64</v>
      </c>
      <c r="F18" s="28">
        <f>(Dash_Calc!B99-Dash_Calc!B102)</f>
        <v>74</v>
      </c>
      <c r="G18" s="29">
        <f t="shared" si="0"/>
        <v>0.86486486486486491</v>
      </c>
      <c r="H18" s="88"/>
      <c r="I18" s="88"/>
      <c r="J18" s="88"/>
    </row>
    <row r="19" spans="2:10" x14ac:dyDescent="0.35">
      <c r="B19" s="80" t="s">
        <v>52</v>
      </c>
      <c r="C19" s="80"/>
      <c r="D19" s="22" t="s">
        <v>53</v>
      </c>
      <c r="E19" s="28">
        <f>COUNTIFS(Dash_Calc!$AA$2:$AA$200,1,Clean_Data!$N$2:$N$200,"&lt;&gt;")</f>
        <v>52</v>
      </c>
      <c r="F19" s="28">
        <f>Dash_Calc!B100</f>
        <v>59</v>
      </c>
      <c r="G19" s="29">
        <f t="shared" si="0"/>
        <v>0.88135593220338981</v>
      </c>
      <c r="H19" s="88"/>
      <c r="I19" s="88"/>
      <c r="J19" s="88"/>
    </row>
    <row r="20" spans="2:10" ht="7.5" customHeight="1" x14ac:dyDescent="0.35"/>
    <row r="21" spans="2:10" ht="19.5" customHeight="1" x14ac:dyDescent="0.35">
      <c r="B21" s="72" t="s">
        <v>54</v>
      </c>
      <c r="C21" s="72"/>
      <c r="D21" s="72"/>
      <c r="E21" s="72"/>
      <c r="F21" s="72"/>
      <c r="G21" s="72"/>
      <c r="H21" s="72"/>
      <c r="I21" s="72"/>
      <c r="J21" s="72"/>
    </row>
    <row r="22" spans="2:10" ht="30" customHeight="1" x14ac:dyDescent="0.35">
      <c r="B22" s="15" t="s">
        <v>23</v>
      </c>
      <c r="C22" s="15" t="s">
        <v>55</v>
      </c>
      <c r="D22" s="15" t="s">
        <v>56</v>
      </c>
      <c r="E22" s="15" t="s">
        <v>57</v>
      </c>
      <c r="F22" s="15" t="s">
        <v>31</v>
      </c>
      <c r="G22" s="15" t="s">
        <v>58</v>
      </c>
      <c r="H22" s="15" t="s">
        <v>59</v>
      </c>
      <c r="I22" s="15" t="s">
        <v>60</v>
      </c>
      <c r="J22" s="15" t="s">
        <v>61</v>
      </c>
    </row>
    <row r="23" spans="2:10" ht="23" x14ac:dyDescent="0.35">
      <c r="B23" s="30">
        <v>1</v>
      </c>
      <c r="C23" s="31" t="s">
        <v>62</v>
      </c>
      <c r="D23" s="31" t="s">
        <v>63</v>
      </c>
      <c r="E23" s="30">
        <f>COUNTIF(Removed_Rows!$F$2:$F$100,"Exact*")</f>
        <v>4</v>
      </c>
      <c r="F23" s="32">
        <f>IF(Dash_Calc!$B$99=0,0,E23/Dash_Calc!$B$99)</f>
        <v>4.7619047619047616E-2</v>
      </c>
      <c r="G23" s="33" t="s">
        <v>64</v>
      </c>
      <c r="H23" s="31" t="s">
        <v>65</v>
      </c>
      <c r="I23" s="31" t="s">
        <v>66</v>
      </c>
      <c r="J23" s="31" t="s">
        <v>67</v>
      </c>
    </row>
    <row r="24" spans="2:10" ht="23" x14ac:dyDescent="0.35">
      <c r="B24" s="34">
        <v>2</v>
      </c>
      <c r="C24" s="35" t="s">
        <v>62</v>
      </c>
      <c r="D24" s="35" t="s">
        <v>68</v>
      </c>
      <c r="E24" s="34">
        <f>COUNTIF(Removed_Rows!$F$2:$F$100,"Near*")</f>
        <v>3</v>
      </c>
      <c r="F24" s="36">
        <f>IF(Dash_Calc!$B$99=0,0,E24/Dash_Calc!$B$99)</f>
        <v>3.5714285714285712E-2</v>
      </c>
      <c r="G24" s="33" t="s">
        <v>64</v>
      </c>
      <c r="H24" s="35" t="s">
        <v>69</v>
      </c>
      <c r="I24" s="35" t="s">
        <v>70</v>
      </c>
      <c r="J24" s="35" t="s">
        <v>71</v>
      </c>
    </row>
    <row r="25" spans="2:10" ht="23" x14ac:dyDescent="0.35">
      <c r="B25" s="30">
        <v>3</v>
      </c>
      <c r="C25" s="31" t="s">
        <v>62</v>
      </c>
      <c r="D25" s="31" t="s">
        <v>72</v>
      </c>
      <c r="E25" s="30">
        <f>COUNTIF(Clean_Data!$S$2:$S$200,"*ID_INFERRED*")</f>
        <v>2</v>
      </c>
      <c r="F25" s="32">
        <f>IF(Dash_Calc!$B$99=0,0,E25/Dash_Calc!$B$99)</f>
        <v>2.3809523809523808E-2</v>
      </c>
      <c r="G25" s="33" t="s">
        <v>73</v>
      </c>
      <c r="H25" s="31" t="s">
        <v>74</v>
      </c>
      <c r="I25" s="31" t="s">
        <v>75</v>
      </c>
      <c r="J25" s="31" t="s">
        <v>76</v>
      </c>
    </row>
    <row r="26" spans="2:10" ht="23" x14ac:dyDescent="0.35">
      <c r="B26" s="34">
        <v>4</v>
      </c>
      <c r="C26" s="35" t="s">
        <v>62</v>
      </c>
      <c r="D26" s="35" t="s">
        <v>77</v>
      </c>
      <c r="E26" s="34">
        <f>SUMPRODUCT((Clean_Data!$D$2:$D$200&lt;&gt;"")*(COUNTIF(Clean_Data!$D$2:$D$200,Clean_Data!$D$2:$D$200)&gt;1))</f>
        <v>17</v>
      </c>
      <c r="F26" s="36">
        <f>IF(Dash_Calc!$B$99=0,0,E26/Dash_Calc!$B$99)</f>
        <v>0.20238095238095238</v>
      </c>
      <c r="G26" s="33" t="s">
        <v>78</v>
      </c>
      <c r="H26" s="35" t="s">
        <v>79</v>
      </c>
      <c r="I26" s="35" t="s">
        <v>80</v>
      </c>
      <c r="J26" s="35" t="s">
        <v>81</v>
      </c>
    </row>
    <row r="27" spans="2:10" ht="23" x14ac:dyDescent="0.35">
      <c r="B27" s="30">
        <v>5</v>
      </c>
      <c r="C27" s="31" t="s">
        <v>82</v>
      </c>
      <c r="D27" s="31" t="s">
        <v>83</v>
      </c>
      <c r="E27" s="30">
        <f>Dash_Calc!B84</f>
        <v>8</v>
      </c>
      <c r="F27" s="32">
        <f>IF(Dash_Calc!$B$99=0,0,E27/Dash_Calc!$B$99)</f>
        <v>9.5238095238095233E-2</v>
      </c>
      <c r="G27" s="33" t="s">
        <v>64</v>
      </c>
      <c r="H27" s="31" t="s">
        <v>84</v>
      </c>
      <c r="I27" s="31" t="s">
        <v>85</v>
      </c>
      <c r="J27" s="31" t="s">
        <v>86</v>
      </c>
    </row>
    <row r="28" spans="2:10" ht="23" x14ac:dyDescent="0.35">
      <c r="B28" s="34">
        <v>6</v>
      </c>
      <c r="C28" s="35" t="s">
        <v>82</v>
      </c>
      <c r="D28" s="35" t="s">
        <v>87</v>
      </c>
      <c r="E28" s="34">
        <f>COUNTIF(Clean_Data!$S$2:$S$200,"*FOLLOWUP_MISSING*")</f>
        <v>7</v>
      </c>
      <c r="F28" s="36">
        <f>IF(Dash_Calc!$B$99=0,0,E28/Dash_Calc!$B$99)</f>
        <v>8.3333333333333329E-2</v>
      </c>
      <c r="G28" s="33" t="s">
        <v>64</v>
      </c>
      <c r="H28" s="35" t="s">
        <v>88</v>
      </c>
      <c r="I28" s="35" t="s">
        <v>89</v>
      </c>
      <c r="J28" s="35" t="s">
        <v>90</v>
      </c>
    </row>
    <row r="29" spans="2:10" ht="23" x14ac:dyDescent="0.35">
      <c r="B29" s="30">
        <v>7</v>
      </c>
      <c r="C29" s="31" t="s">
        <v>82</v>
      </c>
      <c r="D29" s="31" t="s">
        <v>91</v>
      </c>
      <c r="E29" s="30">
        <f>COUNTIF(Clean_Data!$S$2:$S$200,"*ENG_MISSING*")</f>
        <v>10</v>
      </c>
      <c r="F29" s="32">
        <f>IF(Dash_Calc!$B$99=0,0,E29/Dash_Calc!$B$99)</f>
        <v>0.11904761904761904</v>
      </c>
      <c r="G29" s="33" t="s">
        <v>73</v>
      </c>
      <c r="H29" s="31" t="s">
        <v>92</v>
      </c>
      <c r="I29" s="31" t="s">
        <v>93</v>
      </c>
      <c r="J29" s="31" t="s">
        <v>94</v>
      </c>
    </row>
    <row r="30" spans="2:10" ht="23" x14ac:dyDescent="0.35">
      <c r="B30" s="34">
        <v>8</v>
      </c>
      <c r="C30" s="35" t="s">
        <v>82</v>
      </c>
      <c r="D30" s="35" t="s">
        <v>95</v>
      </c>
      <c r="E30" s="34">
        <f>COUNTIF(Clean_Data!$S$2:$S$200,"*INTERACTIONS_*")</f>
        <v>5</v>
      </c>
      <c r="F30" s="36">
        <f>IF(Dash_Calc!$B$99=0,0,E30/Dash_Calc!$B$99)</f>
        <v>5.9523809523809521E-2</v>
      </c>
      <c r="G30" s="33" t="s">
        <v>73</v>
      </c>
      <c r="H30" s="35" t="s">
        <v>96</v>
      </c>
      <c r="I30" s="35" t="s">
        <v>97</v>
      </c>
      <c r="J30" s="35" t="s">
        <v>98</v>
      </c>
    </row>
    <row r="31" spans="2:10" x14ac:dyDescent="0.35">
      <c r="B31" s="30">
        <v>9</v>
      </c>
      <c r="C31" s="31" t="s">
        <v>82</v>
      </c>
      <c r="D31" s="31" t="s">
        <v>99</v>
      </c>
      <c r="E31" s="30">
        <f>Dash_Calc!B85</f>
        <v>13</v>
      </c>
      <c r="F31" s="32">
        <f>IF(Dash_Calc!$B$99=0,0,E31/Dash_Calc!$B$99)</f>
        <v>0.15476190476190477</v>
      </c>
      <c r="G31" s="33" t="s">
        <v>73</v>
      </c>
      <c r="H31" s="31" t="s">
        <v>100</v>
      </c>
      <c r="I31" s="31" t="s">
        <v>101</v>
      </c>
      <c r="J31" s="31" t="s">
        <v>102</v>
      </c>
    </row>
    <row r="32" spans="2:10" ht="23" x14ac:dyDescent="0.35">
      <c r="B32" s="34">
        <v>10</v>
      </c>
      <c r="C32" s="35" t="s">
        <v>82</v>
      </c>
      <c r="D32" s="35" t="s">
        <v>103</v>
      </c>
      <c r="E32" s="34">
        <f>Dash_Calc!B86</f>
        <v>12</v>
      </c>
      <c r="F32" s="36">
        <f>IF(Dash_Calc!$B$99=0,0,E32/Dash_Calc!$B$99)</f>
        <v>0.14285714285714285</v>
      </c>
      <c r="G32" s="33" t="s">
        <v>73</v>
      </c>
      <c r="H32" s="35" t="s">
        <v>104</v>
      </c>
      <c r="I32" s="35" t="s">
        <v>105</v>
      </c>
      <c r="J32" s="35" t="s">
        <v>106</v>
      </c>
    </row>
    <row r="33" spans="2:10" ht="23" x14ac:dyDescent="0.35">
      <c r="B33" s="30">
        <v>11</v>
      </c>
      <c r="C33" s="31" t="s">
        <v>107</v>
      </c>
      <c r="D33" s="31" t="s">
        <v>108</v>
      </c>
      <c r="E33" s="30">
        <f>COUNTIF(Clean_Data!$S$2:$S$200,"*STATUS_CONFLICT*")</f>
        <v>7</v>
      </c>
      <c r="F33" s="32">
        <f>IF(Dash_Calc!$B$99=0,0,E33/Dash_Calc!$B$99)</f>
        <v>8.3333333333333329E-2</v>
      </c>
      <c r="G33" s="33" t="s">
        <v>64</v>
      </c>
      <c r="H33" s="31" t="s">
        <v>109</v>
      </c>
      <c r="I33" s="31" t="s">
        <v>110</v>
      </c>
      <c r="J33" s="31" t="s">
        <v>111</v>
      </c>
    </row>
    <row r="34" spans="2:10" ht="34.5" x14ac:dyDescent="0.35">
      <c r="B34" s="34">
        <v>12</v>
      </c>
      <c r="C34" s="35" t="s">
        <v>107</v>
      </c>
      <c r="D34" s="35" t="s">
        <v>112</v>
      </c>
      <c r="E34" s="34">
        <f>Dash_Calc!B88</f>
        <v>7</v>
      </c>
      <c r="F34" s="36">
        <f>IF(Dash_Calc!$B$99=0,0,E34/Dash_Calc!$B$99)</f>
        <v>8.3333333333333329E-2</v>
      </c>
      <c r="G34" s="33" t="s">
        <v>64</v>
      </c>
      <c r="H34" s="35" t="s">
        <v>113</v>
      </c>
      <c r="I34" s="35" t="s">
        <v>114</v>
      </c>
      <c r="J34" s="35" t="s">
        <v>115</v>
      </c>
    </row>
    <row r="35" spans="2:10" ht="23" x14ac:dyDescent="0.35">
      <c r="B35" s="30">
        <v>13</v>
      </c>
      <c r="C35" s="31" t="s">
        <v>107</v>
      </c>
      <c r="D35" s="31" t="s">
        <v>116</v>
      </c>
      <c r="E35" s="30">
        <f>COUNTIF(Clean_Data!$S$2:$S$200,"*REGION_REVIEW*")</f>
        <v>1</v>
      </c>
      <c r="F35" s="32">
        <f>IF(Dash_Calc!$B$99=0,0,E35/Dash_Calc!$B$99)</f>
        <v>1.1904761904761904E-2</v>
      </c>
      <c r="G35" s="33" t="s">
        <v>78</v>
      </c>
      <c r="H35" s="31" t="s">
        <v>117</v>
      </c>
      <c r="I35" s="31" t="s">
        <v>118</v>
      </c>
      <c r="J35" s="31" t="s">
        <v>119</v>
      </c>
    </row>
    <row r="36" spans="2:10" ht="23" x14ac:dyDescent="0.35">
      <c r="B36" s="34">
        <v>14</v>
      </c>
      <c r="C36" s="35" t="s">
        <v>120</v>
      </c>
      <c r="D36" s="35" t="s">
        <v>121</v>
      </c>
      <c r="E36" s="34">
        <f>COUNTIF(Clean_Data!$S$2:$S$200,"*STATUS_STD*")</f>
        <v>13</v>
      </c>
      <c r="F36" s="36">
        <f>IF(Dash_Calc!$B$99=0,0,E36/Dash_Calc!$B$99)</f>
        <v>0.15476190476190477</v>
      </c>
      <c r="G36" s="33" t="s">
        <v>78</v>
      </c>
      <c r="H36" s="35" t="s">
        <v>122</v>
      </c>
      <c r="I36" s="35" t="s">
        <v>123</v>
      </c>
      <c r="J36" s="35" t="s">
        <v>124</v>
      </c>
    </row>
    <row r="37" spans="2:10" x14ac:dyDescent="0.35">
      <c r="B37" s="30">
        <v>15</v>
      </c>
      <c r="C37" s="31" t="s">
        <v>120</v>
      </c>
      <c r="D37" s="31" t="s">
        <v>125</v>
      </c>
      <c r="E37" s="30">
        <f>COUNTIF(Clean_Data!$S$2:$S$200,"*REGION_STD*")+COUNTIF(Clean_Data!$S$2:$S$200,"*REGION_FILLED*")</f>
        <v>13</v>
      </c>
      <c r="F37" s="32">
        <f>IF(Dash_Calc!$B$99=0,0,E37/Dash_Calc!$B$99)</f>
        <v>0.15476190476190477</v>
      </c>
      <c r="G37" s="33" t="s">
        <v>78</v>
      </c>
      <c r="H37" s="31" t="s">
        <v>126</v>
      </c>
      <c r="I37" s="31" t="s">
        <v>127</v>
      </c>
      <c r="J37" s="31" t="s">
        <v>128</v>
      </c>
    </row>
    <row r="38" spans="2:10" x14ac:dyDescent="0.35">
      <c r="B38" s="34">
        <v>16</v>
      </c>
      <c r="C38" s="35" t="s">
        <v>120</v>
      </c>
      <c r="D38" s="35" t="s">
        <v>129</v>
      </c>
      <c r="E38" s="34">
        <f>COUNTIF(Clean_Data!$S$2:$S$200,"*COUNTRY_STD*")</f>
        <v>3</v>
      </c>
      <c r="F38" s="36">
        <f>IF(Dash_Calc!$B$99=0,0,E38/Dash_Calc!$B$99)</f>
        <v>3.5714285714285712E-2</v>
      </c>
      <c r="G38" s="33" t="s">
        <v>78</v>
      </c>
      <c r="H38" s="35" t="s">
        <v>130</v>
      </c>
      <c r="I38" s="35" t="s">
        <v>131</v>
      </c>
      <c r="J38" s="35" t="s">
        <v>132</v>
      </c>
    </row>
    <row r="39" spans="2:10" ht="23" x14ac:dyDescent="0.35">
      <c r="B39" s="30">
        <v>17</v>
      </c>
      <c r="C39" s="31" t="s">
        <v>120</v>
      </c>
      <c r="D39" s="31" t="s">
        <v>133</v>
      </c>
      <c r="E39" s="30">
        <f>COUNTIF(Clean_Data!$S$2:$S$200,"*DATE_TEXT*")</f>
        <v>8</v>
      </c>
      <c r="F39" s="32">
        <f>IF(Dash_Calc!$B$99=0,0,E39/Dash_Calc!$B$99)</f>
        <v>9.5238095238095233E-2</v>
      </c>
      <c r="G39" s="33" t="s">
        <v>78</v>
      </c>
      <c r="H39" s="31" t="s">
        <v>134</v>
      </c>
      <c r="I39" s="31" t="s">
        <v>135</v>
      </c>
      <c r="J39" s="31" t="s">
        <v>136</v>
      </c>
    </row>
    <row r="40" spans="2:10" ht="33.75" customHeight="1" x14ac:dyDescent="0.35">
      <c r="B40" s="89" t="s">
        <v>137</v>
      </c>
      <c r="C40" s="89"/>
      <c r="D40" s="89"/>
      <c r="E40" s="89"/>
      <c r="F40" s="89"/>
      <c r="G40" s="89"/>
      <c r="H40" s="89"/>
      <c r="I40" s="89"/>
      <c r="J40" s="89"/>
    </row>
    <row r="41" spans="2:10" ht="7.5" customHeight="1" x14ac:dyDescent="0.35"/>
    <row r="42" spans="2:10" ht="19.5" customHeight="1" x14ac:dyDescent="0.35">
      <c r="B42" s="72" t="s">
        <v>138</v>
      </c>
      <c r="C42" s="72"/>
      <c r="D42" s="72"/>
      <c r="E42" s="72"/>
      <c r="F42" s="72"/>
      <c r="G42" s="72"/>
      <c r="H42" s="72"/>
      <c r="I42" s="72"/>
      <c r="J42" s="72"/>
    </row>
    <row r="43" spans="2:10" x14ac:dyDescent="0.35">
      <c r="B43" s="15" t="s">
        <v>23</v>
      </c>
      <c r="C43" s="15" t="s">
        <v>139</v>
      </c>
      <c r="D43" s="15" t="s">
        <v>140</v>
      </c>
      <c r="E43" s="79" t="s">
        <v>141</v>
      </c>
      <c r="F43" s="79"/>
      <c r="G43" s="79"/>
      <c r="H43" s="15" t="s">
        <v>142</v>
      </c>
      <c r="I43" s="15" t="s">
        <v>143</v>
      </c>
      <c r="J43" s="15" t="s">
        <v>144</v>
      </c>
    </row>
    <row r="44" spans="2:10" ht="23" x14ac:dyDescent="0.35">
      <c r="B44" s="37">
        <v>1</v>
      </c>
      <c r="C44" s="38" t="s">
        <v>145</v>
      </c>
      <c r="D44" s="31" t="str">
        <f>IFERROR(INDEX(Clean_Data!$B$2:$B$200,MATCH($C44,Clean_Data!$A$2:$A$200,0)),"not found")&amp;"  |  "&amp;IFERROR(INDEX(Clean_Data!$J$2:$J$200,MATCH($C44,Clean_Data!$A$2:$A$200,0)),"not found")</f>
        <v>Netherlands  |  Not Started</v>
      </c>
      <c r="E44" s="90" t="str">
        <f>IFERROR(INDEX(Clean_Data!$K$2:$K$200,MATCH($C44,Clean_Data!$A$2:$A$200,0)),"not found")</f>
        <v>Neha Kulkarni</v>
      </c>
      <c r="F44" s="90"/>
      <c r="G44" s="90"/>
      <c r="H44" s="31" t="s">
        <v>146</v>
      </c>
      <c r="I44" s="31" t="s">
        <v>147</v>
      </c>
      <c r="J44" s="31" t="str">
        <f>IF(IFERROR(INDEX(Clean_Data!$K$2:$K$200,MATCH($C44,Clean_Data!$A$2:$A$200,0)),"not found")="Unassigned","Manager: assign an owner, then confirm","Owner to confirm and correct in the source")</f>
        <v>Owner to confirm and correct in the source</v>
      </c>
    </row>
    <row r="45" spans="2:10" ht="23" x14ac:dyDescent="0.35">
      <c r="B45" s="39">
        <v>2</v>
      </c>
      <c r="C45" s="40" t="s">
        <v>148</v>
      </c>
      <c r="D45" s="35" t="str">
        <f>IFERROR(INDEX(Clean_Data!$B$2:$B$200,MATCH($C45,Clean_Data!$A$2:$A$200,0)),"not found")&amp;"  |  "&amp;IFERROR(INDEX(Clean_Data!$J$2:$J$200,MATCH($C45,Clean_Data!$A$2:$A$200,0)),"not found")</f>
        <v>Vietnam  |  Not Started</v>
      </c>
      <c r="E45" s="90" t="str">
        <f>IFERROR(INDEX(Clean_Data!$K$2:$K$200,MATCH($C45,Clean_Data!$A$2:$A$200,0)),"not found")</f>
        <v>Neha Kulkarni</v>
      </c>
      <c r="F45" s="90"/>
      <c r="G45" s="90"/>
      <c r="H45" s="35" t="s">
        <v>149</v>
      </c>
      <c r="I45" s="35" t="s">
        <v>147</v>
      </c>
      <c r="J45" s="35" t="str">
        <f>IF(IFERROR(INDEX(Clean_Data!$K$2:$K$200,MATCH($C45,Clean_Data!$A$2:$A$200,0)),"not found")="Unassigned","Manager: assign an owner, then confirm","Owner to confirm and correct in the source")</f>
        <v>Owner to confirm and correct in the source</v>
      </c>
    </row>
    <row r="46" spans="2:10" ht="23" x14ac:dyDescent="0.35">
      <c r="B46" s="37">
        <v>3</v>
      </c>
      <c r="C46" s="38" t="s">
        <v>150</v>
      </c>
      <c r="D46" s="31" t="str">
        <f>IFERROR(INDEX(Clean_Data!$B$2:$B$200,MATCH($C46,Clean_Data!$A$2:$A$200,0)),"not found")&amp;"  |  "&amp;IFERROR(INDEX(Clean_Data!$J$2:$J$200,MATCH($C46,Clean_Data!$A$2:$A$200,0)),"not found")</f>
        <v>Guyana  |  Not Started</v>
      </c>
      <c r="E46" s="90" t="str">
        <f>IFERROR(INDEX(Clean_Data!$K$2:$K$200,MATCH($C46,Clean_Data!$A$2:$A$200,0)),"not found")</f>
        <v>Anita Deshmukh</v>
      </c>
      <c r="F46" s="90"/>
      <c r="G46" s="90"/>
      <c r="H46" s="31" t="s">
        <v>151</v>
      </c>
      <c r="I46" s="31" t="s">
        <v>147</v>
      </c>
      <c r="J46" s="31" t="str">
        <f>IF(IFERROR(INDEX(Clean_Data!$K$2:$K$200,MATCH($C46,Clean_Data!$A$2:$A$200,0)),"not found")="Unassigned","Manager: assign an owner, then confirm","Owner to confirm and correct in the source")</f>
        <v>Owner to confirm and correct in the source</v>
      </c>
    </row>
    <row r="47" spans="2:10" x14ac:dyDescent="0.35">
      <c r="B47" s="39">
        <v>4</v>
      </c>
      <c r="C47" s="40" t="s">
        <v>152</v>
      </c>
      <c r="D47" s="35" t="str">
        <f>IFERROR(INDEX(Clean_Data!$B$2:$B$200,MATCH($C47,Clean_Data!$A$2:$A$200,0)),"not found")&amp;"  |  "&amp;IFERROR(INDEX(Clean_Data!$J$2:$J$200,MATCH($C47,Clean_Data!$A$2:$A$200,0)),"not found")</f>
        <v>Ireland  |  In Discussion</v>
      </c>
      <c r="E47" s="90" t="str">
        <f>IFERROR(INDEX(Clean_Data!$K$2:$K$200,MATCH($C47,Clean_Data!$A$2:$A$200,0)),"not found")</f>
        <v>Sameer Khan</v>
      </c>
      <c r="F47" s="90"/>
      <c r="G47" s="90"/>
      <c r="H47" s="35" t="s">
        <v>153</v>
      </c>
      <c r="I47" s="35" t="s">
        <v>147</v>
      </c>
      <c r="J47" s="35" t="str">
        <f>IF(IFERROR(INDEX(Clean_Data!$K$2:$K$200,MATCH($C47,Clean_Data!$A$2:$A$200,0)),"not found")="Unassigned","Manager: assign an owner, then confirm","Owner to confirm and correct in the source")</f>
        <v>Owner to confirm and correct in the source</v>
      </c>
    </row>
    <row r="48" spans="2:10" x14ac:dyDescent="0.35">
      <c r="B48" s="37">
        <v>5</v>
      </c>
      <c r="C48" s="38" t="s">
        <v>154</v>
      </c>
      <c r="D48" s="31" t="str">
        <f>IFERROR(INDEX(Clean_Data!$B$2:$B$200,MATCH($C48,Clean_Data!$A$2:$A$200,0)),"not found")&amp;"  |  "&amp;IFERROR(INDEX(Clean_Data!$J$2:$J$200,MATCH($C48,Clean_Data!$A$2:$A$200,0)),"not found")</f>
        <v>Korea (South)  |  Engaged</v>
      </c>
      <c r="E48" s="90" t="str">
        <f>IFERROR(INDEX(Clean_Data!$K$2:$K$200,MATCH($C48,Clean_Data!$A$2:$A$200,0)),"not found")</f>
        <v>Rahul Verma</v>
      </c>
      <c r="F48" s="90"/>
      <c r="G48" s="90"/>
      <c r="H48" s="31" t="s">
        <v>155</v>
      </c>
      <c r="I48" s="31" t="s">
        <v>147</v>
      </c>
      <c r="J48" s="31" t="str">
        <f>IF(IFERROR(INDEX(Clean_Data!$K$2:$K$200,MATCH($C48,Clean_Data!$A$2:$A$200,0)),"not found")="Unassigned","Manager: assign an owner, then confirm","Owner to confirm and correct in the source")</f>
        <v>Owner to confirm and correct in the source</v>
      </c>
    </row>
    <row r="49" spans="2:10" x14ac:dyDescent="0.35">
      <c r="B49" s="39">
        <v>6</v>
      </c>
      <c r="C49" s="40" t="s">
        <v>156</v>
      </c>
      <c r="D49" s="35" t="str">
        <f>IFERROR(INDEX(Clean_Data!$B$2:$B$200,MATCH($C49,Clean_Data!$A$2:$A$200,0)),"not found")&amp;"  |  "&amp;IFERROR(INDEX(Clean_Data!$J$2:$J$200,MATCH($C49,Clean_Data!$A$2:$A$200,0)),"not found")</f>
        <v>Algeria  |  Engaged</v>
      </c>
      <c r="E49" s="90" t="str">
        <f>IFERROR(INDEX(Clean_Data!$K$2:$K$200,MATCH($C49,Clean_Data!$A$2:$A$200,0)),"not found")</f>
        <v>Priya Nair</v>
      </c>
      <c r="F49" s="90"/>
      <c r="G49" s="90"/>
      <c r="H49" s="35" t="s">
        <v>157</v>
      </c>
      <c r="I49" s="35" t="s">
        <v>147</v>
      </c>
      <c r="J49" s="35" t="str">
        <f>IF(IFERROR(INDEX(Clean_Data!$K$2:$K$200,MATCH($C49,Clean_Data!$A$2:$A$200,0)),"not found")="Unassigned","Manager: assign an owner, then confirm","Owner to confirm and correct in the source")</f>
        <v>Owner to confirm and correct in the source</v>
      </c>
    </row>
    <row r="50" spans="2:10" x14ac:dyDescent="0.35">
      <c r="B50" s="37">
        <v>7</v>
      </c>
      <c r="C50" s="38" t="s">
        <v>158</v>
      </c>
      <c r="D50" s="31" t="str">
        <f>IFERROR(INDEX(Clean_Data!$B$2:$B$200,MATCH($C50,Clean_Data!$A$2:$A$200,0)),"not found")&amp;"  |  "&amp;IFERROR(INDEX(Clean_Data!$J$2:$J$200,MATCH($C50,Clean_Data!$A$2:$A$200,0)),"not found")</f>
        <v>Mauritius  |  Engaged</v>
      </c>
      <c r="E50" s="90" t="str">
        <f>IFERROR(INDEX(Clean_Data!$K$2:$K$200,MATCH($C50,Clean_Data!$A$2:$A$200,0)),"not found")</f>
        <v>Arjun Mehta</v>
      </c>
      <c r="F50" s="90"/>
      <c r="G50" s="90"/>
      <c r="H50" s="31" t="s">
        <v>155</v>
      </c>
      <c r="I50" s="31" t="s">
        <v>147</v>
      </c>
      <c r="J50" s="31" t="str">
        <f>IF(IFERROR(INDEX(Clean_Data!$K$2:$K$200,MATCH($C50,Clean_Data!$A$2:$A$200,0)),"not found")="Unassigned","Manager: assign an owner, then confirm","Owner to confirm and correct in the source")</f>
        <v>Owner to confirm and correct in the source</v>
      </c>
    </row>
    <row r="51" spans="2:10" ht="23" x14ac:dyDescent="0.35">
      <c r="B51" s="39">
        <v>8</v>
      </c>
      <c r="C51" s="40" t="s">
        <v>159</v>
      </c>
      <c r="D51" s="35" t="str">
        <f>IFERROR(INDEX(Clean_Data!$B$2:$B$200,MATCH($C51,Clean_Data!$A$2:$A$200,0)),"not found")&amp;"  |  "&amp;IFERROR(INDEX(Clean_Data!$J$2:$J$200,MATCH($C51,Clean_Data!$A$2:$A$200,0)),"not found")</f>
        <v>Poland  |  Meeting Scheduled</v>
      </c>
      <c r="E51" s="90" t="str">
        <f>IFERROR(INDEX(Clean_Data!$K$2:$K$200,MATCH($C51,Clean_Data!$A$2:$A$200,0)),"not found")</f>
        <v>Sameer Khan</v>
      </c>
      <c r="F51" s="90"/>
      <c r="G51" s="90"/>
      <c r="H51" s="35" t="s">
        <v>160</v>
      </c>
      <c r="I51" s="35" t="s">
        <v>161</v>
      </c>
      <c r="J51" s="35" t="str">
        <f>IF(IFERROR(INDEX(Clean_Data!$K$2:$K$200,MATCH($C51,Clean_Data!$A$2:$A$200,0)),"not found")="Unassigned","Manager: assign an owner, then confirm","Owner to confirm and correct in the source")</f>
        <v>Owner to confirm and correct in the source</v>
      </c>
    </row>
    <row r="52" spans="2:10" ht="23" x14ac:dyDescent="0.35">
      <c r="B52" s="37">
        <v>9</v>
      </c>
      <c r="C52" s="38" t="s">
        <v>162</v>
      </c>
      <c r="D52" s="31" t="str">
        <f>IFERROR(INDEX(Clean_Data!$B$2:$B$200,MATCH($C52,Clean_Data!$A$2:$A$200,0)),"not found")&amp;"  |  "&amp;IFERROR(INDEX(Clean_Data!$J$2:$J$200,MATCH($C52,Clean_Data!$A$2:$A$200,0)),"not found")</f>
        <v>Kuwait  |  Initial Contact</v>
      </c>
      <c r="E52" s="90" t="str">
        <f>IFERROR(INDEX(Clean_Data!$K$2:$K$200,MATCH($C52,Clean_Data!$A$2:$A$200,0)),"not found")</f>
        <v>Rahul Verma</v>
      </c>
      <c r="F52" s="90"/>
      <c r="G52" s="90"/>
      <c r="H52" s="31" t="s">
        <v>163</v>
      </c>
      <c r="I52" s="31" t="s">
        <v>161</v>
      </c>
      <c r="J52" s="31" t="str">
        <f>IF(IFERROR(INDEX(Clean_Data!$K$2:$K$200,MATCH($C52,Clean_Data!$A$2:$A$200,0)),"not found")="Unassigned","Manager: assign an owner, then confirm","Owner to confirm and correct in the source")</f>
        <v>Owner to confirm and correct in the source</v>
      </c>
    </row>
    <row r="53" spans="2:10" ht="23" x14ac:dyDescent="0.35">
      <c r="B53" s="39">
        <v>10</v>
      </c>
      <c r="C53" s="40" t="s">
        <v>164</v>
      </c>
      <c r="D53" s="35" t="str">
        <f>IFERROR(INDEX(Clean_Data!$B$2:$B$200,MATCH($C53,Clean_Data!$A$2:$A$200,0)),"not found")&amp;"  |  "&amp;IFERROR(INDEX(Clean_Data!$J$2:$J$200,MATCH($C53,Clean_Data!$A$2:$A$200,0)),"not found")</f>
        <v>Rwanda  |  In Discussion</v>
      </c>
      <c r="E53" s="90" t="str">
        <f>IFERROR(INDEX(Clean_Data!$K$2:$K$200,MATCH($C53,Clean_Data!$A$2:$A$200,0)),"not found")</f>
        <v>Sameer Khan</v>
      </c>
      <c r="F53" s="90"/>
      <c r="G53" s="90"/>
      <c r="H53" s="35" t="s">
        <v>165</v>
      </c>
      <c r="I53" s="35" t="s">
        <v>161</v>
      </c>
      <c r="J53" s="35" t="str">
        <f>IF(IFERROR(INDEX(Clean_Data!$K$2:$K$200,MATCH($C53,Clean_Data!$A$2:$A$200,0)),"not found")="Unassigned","Manager: assign an owner, then confirm","Owner to confirm and correct in the source")</f>
        <v>Owner to confirm and correct in the source</v>
      </c>
    </row>
    <row r="54" spans="2:10" ht="23" x14ac:dyDescent="0.35">
      <c r="B54" s="37">
        <v>11</v>
      </c>
      <c r="C54" s="38" t="s">
        <v>166</v>
      </c>
      <c r="D54" s="31" t="str">
        <f>IFERROR(INDEX(Clean_Data!$B$2:$B$200,MATCH($C54,Clean_Data!$A$2:$A$200,0)),"not found")&amp;"  |  "&amp;IFERROR(INDEX(Clean_Data!$J$2:$J$200,MATCH($C54,Clean_Data!$A$2:$A$200,0)),"not found")</f>
        <v>Sri Lanka  |  On Hold</v>
      </c>
      <c r="E54" s="90" t="str">
        <f>IFERROR(INDEX(Clean_Data!$K$2:$K$200,MATCH($C54,Clean_Data!$A$2:$A$200,0)),"not found")</f>
        <v>Sameer Khan</v>
      </c>
      <c r="F54" s="90"/>
      <c r="G54" s="90"/>
      <c r="H54" s="31" t="s">
        <v>167</v>
      </c>
      <c r="I54" s="31" t="s">
        <v>161</v>
      </c>
      <c r="J54" s="31" t="str">
        <f>IF(IFERROR(INDEX(Clean_Data!$K$2:$K$200,MATCH($C54,Clean_Data!$A$2:$A$200,0)),"not found")="Unassigned","Manager: assign an owner, then confirm","Owner to confirm and correct in the source")</f>
        <v>Owner to confirm and correct in the source</v>
      </c>
    </row>
    <row r="55" spans="2:10" x14ac:dyDescent="0.35">
      <c r="B55" s="39">
        <v>12</v>
      </c>
      <c r="C55" s="40" t="s">
        <v>168</v>
      </c>
      <c r="D55" s="35" t="str">
        <f>IFERROR(INDEX(Clean_Data!$B$2:$B$200,MATCH($C55,Clean_Data!$A$2:$A$200,0)),"not found")&amp;"  |  "&amp;IFERROR(INDEX(Clean_Data!$J$2:$J$200,MATCH($C55,Clean_Data!$A$2:$A$200,0)),"not found")</f>
        <v>Morocco  |  Closed</v>
      </c>
      <c r="E55" s="90" t="str">
        <f>IFERROR(INDEX(Clean_Data!$K$2:$K$200,MATCH($C55,Clean_Data!$A$2:$A$200,0)),"not found")</f>
        <v>Rahul Verma</v>
      </c>
      <c r="F55" s="90"/>
      <c r="G55" s="90"/>
      <c r="H55" s="35" t="s">
        <v>169</v>
      </c>
      <c r="I55" s="35" t="s">
        <v>161</v>
      </c>
      <c r="J55" s="35" t="str">
        <f>IF(IFERROR(INDEX(Clean_Data!$K$2:$K$200,MATCH($C55,Clean_Data!$A$2:$A$200,0)),"not found")="Unassigned","Manager: assign an owner, then confirm","Owner to confirm and correct in the source")</f>
        <v>Owner to confirm and correct in the source</v>
      </c>
    </row>
    <row r="56" spans="2:10" ht="34.5" x14ac:dyDescent="0.35">
      <c r="B56" s="37">
        <v>13</v>
      </c>
      <c r="C56" s="38" t="s">
        <v>170</v>
      </c>
      <c r="D56" s="31" t="str">
        <f>IFERROR(INDEX(Clean_Data!$B$2:$B$200,MATCH($C56,Clean_Data!$A$2:$A$200,0)),"not found")&amp;"  |  "&amp;IFERROR(INDEX(Clean_Data!$J$2:$J$200,MATCH($C56,Clean_Data!$A$2:$A$200,0)),"not found")</f>
        <v>Ghana  |  Engaged</v>
      </c>
      <c r="E56" s="90" t="str">
        <f>IFERROR(INDEX(Clean_Data!$K$2:$K$200,MATCH($C56,Clean_Data!$A$2:$A$200,0)),"not found")</f>
        <v>Anita Deshmukh</v>
      </c>
      <c r="F56" s="90"/>
      <c r="G56" s="90"/>
      <c r="H56" s="31" t="s">
        <v>171</v>
      </c>
      <c r="I56" s="31" t="s">
        <v>172</v>
      </c>
      <c r="J56" s="31" t="str">
        <f>IF(IFERROR(INDEX(Clean_Data!$K$2:$K$200,MATCH($C56,Clean_Data!$A$2:$A$200,0)),"not found")="Unassigned","Manager: assign an owner, then confirm","Owner to confirm and correct in the source")</f>
        <v>Owner to confirm and correct in the source</v>
      </c>
    </row>
    <row r="57" spans="2:10" x14ac:dyDescent="0.35">
      <c r="B57" s="39">
        <v>14</v>
      </c>
      <c r="C57" s="40" t="s">
        <v>173</v>
      </c>
      <c r="D57" s="35" t="str">
        <f>IFERROR(INDEX(Clean_Data!$B$2:$B$200,MATCH($C57,Clean_Data!$A$2:$A$200,0)),"not found")&amp;"  |  "&amp;IFERROR(INDEX(Clean_Data!$J$2:$J$200,MATCH($C57,Clean_Data!$A$2:$A$200,0)),"not found")</f>
        <v>Uganda  |  On Hold</v>
      </c>
      <c r="E57" s="90" t="str">
        <f>IFERROR(INDEX(Clean_Data!$K$2:$K$200,MATCH($C57,Clean_Data!$A$2:$A$200,0)),"not found")</f>
        <v>Rahul Verma</v>
      </c>
      <c r="F57" s="90"/>
      <c r="G57" s="90"/>
      <c r="H57" s="35" t="s">
        <v>174</v>
      </c>
      <c r="I57" s="35" t="s">
        <v>161</v>
      </c>
      <c r="J57" s="35" t="str">
        <f>IF(IFERROR(INDEX(Clean_Data!$K$2:$K$200,MATCH($C57,Clean_Data!$A$2:$A$200,0)),"not found")="Unassigned","Manager: assign an owner, then confirm","Owner to confirm and correct in the source")</f>
        <v>Owner to confirm and correct in the source</v>
      </c>
    </row>
    <row r="58" spans="2:10" ht="23" x14ac:dyDescent="0.35">
      <c r="B58" s="37">
        <v>15</v>
      </c>
      <c r="C58" s="38" t="s">
        <v>175</v>
      </c>
      <c r="D58" s="31" t="str">
        <f>IFERROR(INDEX(Clean_Data!$B$2:$B$200,MATCH($C58,Clean_Data!$A$2:$A$200,0)),"not found")&amp;"  |  "&amp;IFERROR(INDEX(Clean_Data!$J$2:$J$200,MATCH($C58,Clean_Data!$A$2:$A$200,0)),"not found")</f>
        <v>Mexico  |  Engaged</v>
      </c>
      <c r="E58" s="90" t="str">
        <f>IFERROR(INDEX(Clean_Data!$K$2:$K$200,MATCH($C58,Clean_Data!$A$2:$A$200,0)),"not found")</f>
        <v>Anita Deshmukh</v>
      </c>
      <c r="F58" s="90"/>
      <c r="G58" s="90"/>
      <c r="H58" s="31" t="s">
        <v>176</v>
      </c>
      <c r="I58" s="31" t="s">
        <v>177</v>
      </c>
      <c r="J58" s="31" t="str">
        <f>IF(IFERROR(INDEX(Clean_Data!$K$2:$K$200,MATCH($C58,Clean_Data!$A$2:$A$200,0)),"not found")="Unassigned","Manager: assign an owner, then confirm","Owner to confirm and correct in the source")</f>
        <v>Owner to confirm and correct in the source</v>
      </c>
    </row>
    <row r="59" spans="2:10" ht="23" x14ac:dyDescent="0.35">
      <c r="B59" s="39">
        <v>16</v>
      </c>
      <c r="C59" s="40" t="s">
        <v>178</v>
      </c>
      <c r="D59" s="35" t="str">
        <f>IFERROR(INDEX(Clean_Data!$B$2:$B$200,MATCH($C59,Clean_Data!$A$2:$A$200,0)),"not found")&amp;"  |  "&amp;IFERROR(INDEX(Clean_Data!$J$2:$J$200,MATCH($C59,Clean_Data!$A$2:$A$200,0)),"not found")</f>
        <v>Singapore  |  Closed</v>
      </c>
      <c r="E59" s="90" t="str">
        <f>IFERROR(INDEX(Clean_Data!$K$2:$K$200,MATCH($C59,Clean_Data!$A$2:$A$200,0)),"not found")</f>
        <v>Arjun Mehta</v>
      </c>
      <c r="F59" s="90"/>
      <c r="G59" s="90"/>
      <c r="H59" s="35" t="s">
        <v>179</v>
      </c>
      <c r="I59" s="35" t="s">
        <v>177</v>
      </c>
      <c r="J59" s="35" t="str">
        <f>IF(IFERROR(INDEX(Clean_Data!$K$2:$K$200,MATCH($C59,Clean_Data!$A$2:$A$200,0)),"not found")="Unassigned","Manager: assign an owner, then confirm","Owner to confirm and correct in the source")</f>
        <v>Owner to confirm and correct in the source</v>
      </c>
    </row>
    <row r="60" spans="2:10" ht="23" x14ac:dyDescent="0.35">
      <c r="B60" s="37">
        <v>17</v>
      </c>
      <c r="C60" s="38" t="s">
        <v>180</v>
      </c>
      <c r="D60" s="31" t="str">
        <f>IFERROR(INDEX(Clean_Data!$B$2:$B$200,MATCH($C60,Clean_Data!$A$2:$A$200,0)),"not found")&amp;"  |  "&amp;IFERROR(INDEX(Clean_Data!$J$2:$J$200,MATCH($C60,Clean_Data!$A$2:$A$200,0)),"not found")</f>
        <v>Senegal  |  Engaged</v>
      </c>
      <c r="E60" s="90" t="str">
        <f>IFERROR(INDEX(Clean_Data!$K$2:$K$200,MATCH($C60,Clean_Data!$A$2:$A$200,0)),"not found")</f>
        <v>Neha Kulkarni</v>
      </c>
      <c r="F60" s="90"/>
      <c r="G60" s="90"/>
      <c r="H60" s="31" t="s">
        <v>181</v>
      </c>
      <c r="I60" s="31" t="s">
        <v>182</v>
      </c>
      <c r="J60" s="31" t="str">
        <f>IF(IFERROR(INDEX(Clean_Data!$K$2:$K$200,MATCH($C60,Clean_Data!$A$2:$A$200,0)),"not found")="Unassigned","Manager: assign an owner, then confirm","Owner to confirm and correct in the source")</f>
        <v>Owner to confirm and correct in the source</v>
      </c>
    </row>
    <row r="61" spans="2:10" ht="23" x14ac:dyDescent="0.35">
      <c r="B61" s="39">
        <v>18</v>
      </c>
      <c r="C61" s="40" t="s">
        <v>183</v>
      </c>
      <c r="D61" s="35" t="str">
        <f>IFERROR(INDEX(Clean_Data!$B$2:$B$200,MATCH($C61,Clean_Data!$A$2:$A$200,0)),"not found")&amp;"  |  "&amp;IFERROR(INDEX(Clean_Data!$J$2:$J$200,MATCH($C61,Clean_Data!$A$2:$A$200,0)),"not found")</f>
        <v>USA  |  Meeting Scheduled</v>
      </c>
      <c r="E61" s="90" t="str">
        <f>IFERROR(INDEX(Clean_Data!$K$2:$K$200,MATCH($C61,Clean_Data!$A$2:$A$200,0)),"not found")</f>
        <v>Unassigned</v>
      </c>
      <c r="F61" s="90"/>
      <c r="G61" s="90"/>
      <c r="H61" s="35" t="s">
        <v>184</v>
      </c>
      <c r="I61" s="35" t="s">
        <v>182</v>
      </c>
      <c r="J61" s="35" t="str">
        <f>IF(IFERROR(INDEX(Clean_Data!$K$2:$K$200,MATCH($C61,Clean_Data!$A$2:$A$200,0)),"not found")="Unassigned","Manager: assign an owner, then confirm","Owner to confirm and correct in the source")</f>
        <v>Manager: assign an owner, then confirm</v>
      </c>
    </row>
    <row r="62" spans="2:10" ht="25.5" customHeight="1" x14ac:dyDescent="0.35">
      <c r="B62" s="89" t="s">
        <v>185</v>
      </c>
      <c r="C62" s="89"/>
      <c r="D62" s="89"/>
      <c r="E62" s="89"/>
      <c r="F62" s="89"/>
      <c r="G62" s="89"/>
      <c r="H62" s="89"/>
      <c r="I62" s="89"/>
      <c r="J62" s="89"/>
    </row>
    <row r="64" spans="2:10" ht="19.5" customHeight="1" x14ac:dyDescent="0.35">
      <c r="B64" s="72" t="s">
        <v>186</v>
      </c>
      <c r="C64" s="72"/>
      <c r="D64" s="72"/>
      <c r="E64" s="72"/>
      <c r="F64" s="72"/>
      <c r="G64" s="72"/>
      <c r="H64" s="72"/>
      <c r="I64" s="72"/>
      <c r="J64" s="72"/>
    </row>
    <row r="65" spans="2:10" ht="21.75" customHeight="1" x14ac:dyDescent="0.35">
      <c r="B65" s="91" t="str">
        <f>"•  Reporting date is "&amp;TEXT(Settings!B2,"dd mmm yyyy")&amp;" (Settings sheet). Dates after this are treated as future-dated errors; if the real review date differs, these flags and the overdue / silent counts change."</f>
        <v>•  Reporting date is 06 Oct 2026 (Settings sheet). Dates after this are treated as future-dated errors; if the real review date differs, these flags and the overdue / silent counts change.</v>
      </c>
      <c r="C65" s="91"/>
      <c r="D65" s="91"/>
      <c r="E65" s="91"/>
      <c r="F65" s="91"/>
      <c r="G65" s="91"/>
      <c r="H65" s="91"/>
      <c r="I65" s="91"/>
      <c r="J65" s="91"/>
    </row>
    <row r="66" spans="2:10" ht="21.75" customHeight="1" x14ac:dyDescent="0.35">
      <c r="B66" s="91" t="s">
        <v>187</v>
      </c>
      <c r="C66" s="91"/>
      <c r="D66" s="91"/>
      <c r="E66" s="91"/>
      <c r="F66" s="91"/>
      <c r="G66" s="91"/>
      <c r="H66" s="91"/>
      <c r="I66" s="91"/>
      <c r="J66" s="91"/>
    </row>
    <row r="67" spans="2:10" ht="21.75" customHeight="1" x14ac:dyDescent="0.35">
      <c r="B67" s="91" t="s">
        <v>188</v>
      </c>
      <c r="C67" s="91"/>
      <c r="D67" s="91"/>
      <c r="E67" s="91"/>
      <c r="F67" s="91"/>
      <c r="G67" s="91"/>
      <c r="H67" s="91"/>
      <c r="I67" s="91"/>
      <c r="J67" s="91"/>
    </row>
    <row r="68" spans="2:10" ht="21.75" customHeight="1" x14ac:dyDescent="0.35">
      <c r="B68" s="91" t="s">
        <v>189</v>
      </c>
      <c r="C68" s="91"/>
      <c r="D68" s="91"/>
      <c r="E68" s="91"/>
      <c r="F68" s="91"/>
      <c r="G68" s="91"/>
      <c r="H68" s="91"/>
      <c r="I68" s="91"/>
      <c r="J68" s="91"/>
    </row>
  </sheetData>
  <mergeCells count="46">
    <mergeCell ref="B66:J66"/>
    <mergeCell ref="B67:J67"/>
    <mergeCell ref="B68:J68"/>
    <mergeCell ref="E60:G60"/>
    <mergeCell ref="E61:G61"/>
    <mergeCell ref="B62:J62"/>
    <mergeCell ref="B64:J64"/>
    <mergeCell ref="B65:J65"/>
    <mergeCell ref="E55:G55"/>
    <mergeCell ref="E56:G56"/>
    <mergeCell ref="E57:G57"/>
    <mergeCell ref="E58:G58"/>
    <mergeCell ref="E59:G59"/>
    <mergeCell ref="E50:G50"/>
    <mergeCell ref="E51:G51"/>
    <mergeCell ref="E52:G52"/>
    <mergeCell ref="E53:G53"/>
    <mergeCell ref="E54:G54"/>
    <mergeCell ref="E45:G45"/>
    <mergeCell ref="E46:G46"/>
    <mergeCell ref="E47:G47"/>
    <mergeCell ref="E48:G48"/>
    <mergeCell ref="E49:G49"/>
    <mergeCell ref="B21:J21"/>
    <mergeCell ref="B40:J40"/>
    <mergeCell ref="B42:J42"/>
    <mergeCell ref="E43:G43"/>
    <mergeCell ref="E44:G44"/>
    <mergeCell ref="B7:J7"/>
    <mergeCell ref="B8:J8"/>
    <mergeCell ref="B10:J10"/>
    <mergeCell ref="B11:C11"/>
    <mergeCell ref="H11:J19"/>
    <mergeCell ref="B12:C12"/>
    <mergeCell ref="B13:C13"/>
    <mergeCell ref="B14:C14"/>
    <mergeCell ref="B15:C15"/>
    <mergeCell ref="B16:C16"/>
    <mergeCell ref="B17:C17"/>
    <mergeCell ref="B18:C18"/>
    <mergeCell ref="B19:C19"/>
    <mergeCell ref="B1:J1"/>
    <mergeCell ref="B2:J2"/>
    <mergeCell ref="B4:J4"/>
    <mergeCell ref="B5:J5"/>
    <mergeCell ref="B6:J6"/>
  </mergeCells>
  <conditionalFormatting sqref="G12:G19">
    <cfRule type="dataBar" priority="2">
      <dataBar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{D456F5D0-9F5D-4B74-96A3-A370D71FB4C4}</x14:id>
        </ext>
      </extLst>
    </cfRule>
    <cfRule type="cellIs" dxfId="4" priority="3" operator="lessThan">
      <formula>0.9</formula>
    </cfRule>
  </conditionalFormatting>
  <conditionalFormatting sqref="G23:G39">
    <cfRule type="cellIs" dxfId="3" priority="4" operator="equal">
      <formula>"High"</formula>
    </cfRule>
    <cfRule type="cellIs" dxfId="2" priority="5" operator="equal">
      <formula>"Medium"</formula>
    </cfRule>
    <cfRule type="cellIs" dxfId="1" priority="6" operator="equal">
      <formula>"Low"</formula>
    </cfRule>
  </conditionalFormatting>
  <pageMargins left="0.3" right="0.3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56F5D0-9F5D-4B74-96A3-A370D71FB4C4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70AD47"/>
            </x14:dataBar>
          </x14:cfRule>
          <xm:sqref>G12:G19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zoomScaleNormal="100" workbookViewId="0">
      <selection activeCell="C13" sqref="C13"/>
    </sheetView>
  </sheetViews>
  <sheetFormatPr defaultColWidth="8.6328125" defaultRowHeight="14.5" x14ac:dyDescent="0.35"/>
  <cols>
    <col min="1" max="1" width="26" style="41" customWidth="1"/>
    <col min="2" max="2" width="16" style="41" customWidth="1"/>
    <col min="3" max="3" width="95" style="41" customWidth="1"/>
  </cols>
  <sheetData>
    <row r="1" spans="1:3" ht="15" customHeight="1" x14ac:dyDescent="0.35">
      <c r="A1" s="42" t="s">
        <v>190</v>
      </c>
    </row>
    <row r="2" spans="1:3" ht="15" customHeight="1" x14ac:dyDescent="0.35">
      <c r="A2" s="43" t="s">
        <v>904</v>
      </c>
      <c r="B2" s="92">
        <v>46301</v>
      </c>
      <c r="C2" s="44" t="s">
        <v>902</v>
      </c>
    </row>
    <row r="3" spans="1:3" ht="15" customHeight="1" x14ac:dyDescent="0.35">
      <c r="A3" s="43" t="s">
        <v>905</v>
      </c>
      <c r="B3" s="93">
        <v>90</v>
      </c>
      <c r="C3" s="44" t="s">
        <v>903</v>
      </c>
    </row>
    <row r="5" spans="1:3" ht="15" customHeight="1" x14ac:dyDescent="0.35">
      <c r="A5" s="43" t="s">
        <v>191</v>
      </c>
    </row>
    <row r="6" spans="1:3" ht="15" customHeight="1" x14ac:dyDescent="0.35">
      <c r="A6" s="45" t="s">
        <v>192</v>
      </c>
    </row>
    <row r="7" spans="1:3" ht="15" customHeight="1" x14ac:dyDescent="0.35">
      <c r="A7" s="46" t="s">
        <v>193</v>
      </c>
    </row>
    <row r="8" spans="1:3" ht="15" customHeight="1" x14ac:dyDescent="0.35">
      <c r="A8" s="96" t="s">
        <v>908</v>
      </c>
    </row>
    <row r="9" spans="1:3" x14ac:dyDescent="0.35">
      <c r="A9" s="94" t="s">
        <v>906</v>
      </c>
      <c r="B9" s="94"/>
    </row>
    <row r="10" spans="1:3" x14ac:dyDescent="0.35">
      <c r="A10" s="95" t="s">
        <v>907</v>
      </c>
      <c r="B10" s="9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W8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11" style="41" customWidth="1"/>
    <col min="2" max="2" width="16" style="41" customWidth="1"/>
    <col min="3" max="3" width="24" style="41" customWidth="1"/>
    <col min="4" max="4" width="18" style="41" customWidth="1"/>
    <col min="5" max="5" width="26" style="41" customWidth="1"/>
    <col min="6" max="6" width="38" style="41" customWidth="1"/>
    <col min="7" max="7" width="10" style="41" customWidth="1"/>
    <col min="8" max="8" width="18" style="41" customWidth="1"/>
    <col min="9" max="9" width="10" style="41" customWidth="1"/>
    <col min="10" max="10" width="18" style="41" customWidth="1"/>
    <col min="11" max="11" width="16" style="41" customWidth="1"/>
    <col min="12" max="14" width="13" style="41" customWidth="1"/>
    <col min="15" max="15" width="11" style="41" customWidth="1"/>
    <col min="16" max="16" width="18" style="41" customWidth="1"/>
    <col min="17" max="17" width="17" style="41" customWidth="1"/>
    <col min="18" max="18" width="32" style="41" customWidth="1"/>
    <col min="19" max="19" width="44" style="41" customWidth="1"/>
    <col min="20" max="20" width="10" style="41" customWidth="1"/>
    <col min="21" max="21" width="12" style="41" customWidth="1"/>
    <col min="22" max="23" width="11" style="41" customWidth="1"/>
  </cols>
  <sheetData>
    <row r="1" spans="1:23" ht="31.5" customHeight="1" x14ac:dyDescent="0.35">
      <c r="A1" s="47" t="s">
        <v>194</v>
      </c>
      <c r="B1" s="47" t="s">
        <v>24</v>
      </c>
      <c r="C1" s="47" t="s">
        <v>12</v>
      </c>
      <c r="D1" s="47" t="s">
        <v>195</v>
      </c>
      <c r="E1" s="47" t="s">
        <v>196</v>
      </c>
      <c r="F1" s="47" t="s">
        <v>197</v>
      </c>
      <c r="G1" s="47" t="s">
        <v>198</v>
      </c>
      <c r="H1" s="47" t="s">
        <v>199</v>
      </c>
      <c r="I1" s="47" t="s">
        <v>200</v>
      </c>
      <c r="J1" s="47" t="s">
        <v>201</v>
      </c>
      <c r="K1" s="47" t="s">
        <v>202</v>
      </c>
      <c r="L1" s="47" t="s">
        <v>203</v>
      </c>
      <c r="M1" s="47" t="s">
        <v>204</v>
      </c>
      <c r="N1" s="47" t="s">
        <v>205</v>
      </c>
      <c r="O1" s="47" t="s">
        <v>206</v>
      </c>
      <c r="P1" s="47" t="s">
        <v>207</v>
      </c>
      <c r="Q1" s="47" t="s">
        <v>208</v>
      </c>
      <c r="R1" s="47" t="s">
        <v>209</v>
      </c>
      <c r="S1" s="47" t="s">
        <v>210</v>
      </c>
      <c r="T1" s="47" t="s">
        <v>211</v>
      </c>
      <c r="U1" s="48" t="s">
        <v>212</v>
      </c>
      <c r="V1" s="48" t="s">
        <v>213</v>
      </c>
      <c r="W1" s="48" t="s">
        <v>214</v>
      </c>
    </row>
    <row r="2" spans="1:23" ht="15" customHeight="1" x14ac:dyDescent="0.35">
      <c r="A2" s="49" t="s">
        <v>215</v>
      </c>
      <c r="B2" s="49" t="s">
        <v>216</v>
      </c>
      <c r="C2" s="49" t="s">
        <v>217</v>
      </c>
      <c r="D2" s="49" t="s">
        <v>218</v>
      </c>
      <c r="E2" s="49" t="s">
        <v>219</v>
      </c>
      <c r="F2" s="49" t="s">
        <v>220</v>
      </c>
      <c r="G2" s="49" t="s">
        <v>221</v>
      </c>
      <c r="H2" s="49" t="s">
        <v>222</v>
      </c>
      <c r="I2" s="49" t="s">
        <v>221</v>
      </c>
      <c r="J2" s="49" t="s">
        <v>223</v>
      </c>
      <c r="K2" s="49" t="s">
        <v>224</v>
      </c>
      <c r="L2" s="50"/>
      <c r="M2" s="50"/>
      <c r="N2" s="50"/>
      <c r="O2" s="49">
        <v>0</v>
      </c>
      <c r="P2" s="49" t="s">
        <v>225</v>
      </c>
      <c r="Q2" s="49" t="s">
        <v>225</v>
      </c>
      <c r="R2" s="49" t="s">
        <v>226</v>
      </c>
      <c r="S2" s="49" t="s">
        <v>227</v>
      </c>
      <c r="T2" s="49">
        <v>2</v>
      </c>
      <c r="U2" s="51" t="str">
        <f>IF(OR(M2="",M2&gt;Settings!$B$2),"",Settings!$B$2-M2)</f>
        <v/>
      </c>
      <c r="V2" s="51" t="str">
        <f>IF(AND(N2&lt;&gt;"",N2&lt;Settings!$B$2,J2&lt;&gt;"Closed"),"Yes","No")</f>
        <v>No</v>
      </c>
      <c r="W2" s="51" t="str">
        <f>IF(AND(OR(J2="Initial Contact",J2="In Discussion",J2="Meeting Scheduled",J2="Engaged"),ISNUMBER(U2),U2&gt;Settings!$B$3),"Yes","No")</f>
        <v>No</v>
      </c>
    </row>
    <row r="3" spans="1:23" ht="15" customHeight="1" x14ac:dyDescent="0.35">
      <c r="A3" s="49" t="s">
        <v>228</v>
      </c>
      <c r="B3" s="49" t="s">
        <v>229</v>
      </c>
      <c r="C3" s="49" t="s">
        <v>217</v>
      </c>
      <c r="D3" s="49" t="s">
        <v>230</v>
      </c>
      <c r="E3" s="49" t="s">
        <v>231</v>
      </c>
      <c r="F3" s="49" t="s">
        <v>232</v>
      </c>
      <c r="G3" s="49" t="s">
        <v>221</v>
      </c>
      <c r="H3" s="49" t="s">
        <v>233</v>
      </c>
      <c r="I3" s="49" t="s">
        <v>221</v>
      </c>
      <c r="J3" s="49" t="s">
        <v>234</v>
      </c>
      <c r="K3" s="49" t="s">
        <v>235</v>
      </c>
      <c r="L3" s="50">
        <v>46057</v>
      </c>
      <c r="M3" s="50">
        <v>46078</v>
      </c>
      <c r="N3" s="50">
        <v>46132</v>
      </c>
      <c r="O3" s="49">
        <v>1</v>
      </c>
      <c r="P3" s="49" t="s">
        <v>78</v>
      </c>
      <c r="Q3" s="49" t="s">
        <v>197</v>
      </c>
      <c r="R3" s="49" t="s">
        <v>236</v>
      </c>
      <c r="S3" s="49" t="s">
        <v>237</v>
      </c>
      <c r="T3" s="49">
        <v>3</v>
      </c>
      <c r="U3" s="51">
        <f>IF(OR(M3="",M3&gt;Settings!$B$2),"",Settings!$B$2-M3)</f>
        <v>223</v>
      </c>
      <c r="V3" s="51" t="str">
        <f>IF(AND(N3&lt;&gt;"",N3&lt;Settings!$B$2,J3&lt;&gt;"Closed"),"Yes","No")</f>
        <v>Yes</v>
      </c>
      <c r="W3" s="51" t="str">
        <f>IF(AND(OR(J3="Initial Contact",J3="In Discussion",J3="Meeting Scheduled",J3="Engaged"),ISNUMBER(U3),U3&gt;Settings!$B$3),"Yes","No")</f>
        <v>Yes</v>
      </c>
    </row>
    <row r="4" spans="1:23" ht="15" customHeight="1" x14ac:dyDescent="0.35">
      <c r="A4" s="49" t="s">
        <v>238</v>
      </c>
      <c r="B4" s="49" t="s">
        <v>239</v>
      </c>
      <c r="C4" s="49" t="s">
        <v>217</v>
      </c>
      <c r="D4" s="49" t="s">
        <v>240</v>
      </c>
      <c r="E4" s="49" t="s">
        <v>219</v>
      </c>
      <c r="F4" s="49" t="s">
        <v>241</v>
      </c>
      <c r="G4" s="49" t="s">
        <v>221</v>
      </c>
      <c r="H4" s="49" t="s">
        <v>242</v>
      </c>
      <c r="I4" s="49" t="s">
        <v>221</v>
      </c>
      <c r="J4" s="49" t="s">
        <v>243</v>
      </c>
      <c r="K4" s="49" t="s">
        <v>224</v>
      </c>
      <c r="L4" s="50">
        <v>46079</v>
      </c>
      <c r="M4" s="50">
        <v>46143</v>
      </c>
      <c r="N4" s="50">
        <v>46257</v>
      </c>
      <c r="O4" s="49">
        <v>6</v>
      </c>
      <c r="P4" s="49" t="s">
        <v>244</v>
      </c>
      <c r="Q4" s="49" t="s">
        <v>245</v>
      </c>
      <c r="R4" s="49" t="s">
        <v>246</v>
      </c>
      <c r="S4" s="49" t="s">
        <v>247</v>
      </c>
      <c r="T4" s="49">
        <v>4</v>
      </c>
      <c r="U4" s="51">
        <f>IF(OR(M4="",M4&gt;Settings!$B$2),"",Settings!$B$2-M4)</f>
        <v>158</v>
      </c>
      <c r="V4" s="51" t="str">
        <f>IF(AND(N4&lt;&gt;"",N4&lt;Settings!$B$2,J4&lt;&gt;"Closed"),"Yes","No")</f>
        <v>Yes</v>
      </c>
      <c r="W4" s="51" t="str">
        <f>IF(AND(OR(J4="Initial Contact",J4="In Discussion",J4="Meeting Scheduled",J4="Engaged"),ISNUMBER(U4),U4&gt;Settings!$B$3),"Yes","No")</f>
        <v>No</v>
      </c>
    </row>
    <row r="5" spans="1:23" ht="15" customHeight="1" x14ac:dyDescent="0.35">
      <c r="A5" s="49" t="s">
        <v>248</v>
      </c>
      <c r="B5" s="49" t="s">
        <v>249</v>
      </c>
      <c r="C5" s="49" t="s">
        <v>217</v>
      </c>
      <c r="D5" s="49" t="s">
        <v>250</v>
      </c>
      <c r="E5" s="49" t="s">
        <v>251</v>
      </c>
      <c r="F5" s="49" t="s">
        <v>252</v>
      </c>
      <c r="G5" s="49" t="s">
        <v>221</v>
      </c>
      <c r="H5" s="49" t="s">
        <v>253</v>
      </c>
      <c r="I5" s="49" t="s">
        <v>221</v>
      </c>
      <c r="J5" s="49" t="s">
        <v>15</v>
      </c>
      <c r="K5" s="49" t="s">
        <v>254</v>
      </c>
      <c r="L5" s="50">
        <v>46233</v>
      </c>
      <c r="M5" s="50">
        <v>46248</v>
      </c>
      <c r="N5" s="50">
        <v>46287</v>
      </c>
      <c r="O5" s="49">
        <v>19</v>
      </c>
      <c r="P5" s="49" t="s">
        <v>64</v>
      </c>
      <c r="Q5" s="49" t="s">
        <v>245</v>
      </c>
      <c r="R5" s="49" t="s">
        <v>255</v>
      </c>
      <c r="S5" s="49"/>
      <c r="T5" s="49">
        <v>5</v>
      </c>
      <c r="U5" s="51">
        <f>IF(OR(M5="",M5&gt;Settings!$B$2),"",Settings!$B$2-M5)</f>
        <v>53</v>
      </c>
      <c r="V5" s="51" t="str">
        <f>IF(AND(N5&lt;&gt;"",N5&lt;Settings!$B$2,J5&lt;&gt;"Closed"),"Yes","No")</f>
        <v>Yes</v>
      </c>
      <c r="W5" s="51" t="str">
        <f>IF(AND(OR(J5="Initial Contact",J5="In Discussion",J5="Meeting Scheduled",J5="Engaged"),ISNUMBER(U5),U5&gt;Settings!$B$3),"Yes","No")</f>
        <v>No</v>
      </c>
    </row>
    <row r="6" spans="1:23" ht="15" customHeight="1" x14ac:dyDescent="0.35">
      <c r="A6" s="49" t="s">
        <v>256</v>
      </c>
      <c r="B6" s="49" t="s">
        <v>257</v>
      </c>
      <c r="C6" s="49" t="s">
        <v>217</v>
      </c>
      <c r="D6" s="49" t="s">
        <v>258</v>
      </c>
      <c r="E6" s="49" t="s">
        <v>219</v>
      </c>
      <c r="F6" s="49" t="s">
        <v>259</v>
      </c>
      <c r="G6" s="49" t="s">
        <v>221</v>
      </c>
      <c r="H6" s="49" t="s">
        <v>260</v>
      </c>
      <c r="I6" s="49" t="s">
        <v>221</v>
      </c>
      <c r="J6" s="49" t="s">
        <v>261</v>
      </c>
      <c r="K6" s="49" t="s">
        <v>262</v>
      </c>
      <c r="L6" s="50">
        <v>46199</v>
      </c>
      <c r="M6" s="50">
        <v>46270</v>
      </c>
      <c r="N6" s="50">
        <v>46295</v>
      </c>
      <c r="O6" s="49">
        <v>8</v>
      </c>
      <c r="P6" s="49" t="s">
        <v>78</v>
      </c>
      <c r="Q6" s="49" t="s">
        <v>263</v>
      </c>
      <c r="R6" s="49" t="s">
        <v>264</v>
      </c>
      <c r="S6" s="49"/>
      <c r="T6" s="49">
        <v>6</v>
      </c>
      <c r="U6" s="51">
        <f>IF(OR(M6="",M6&gt;Settings!$B$2),"",Settings!$B$2-M6)</f>
        <v>31</v>
      </c>
      <c r="V6" s="51" t="str">
        <f>IF(AND(N6&lt;&gt;"",N6&lt;Settings!$B$2,J6&lt;&gt;"Closed"),"Yes","No")</f>
        <v>Yes</v>
      </c>
      <c r="W6" s="51" t="str">
        <f>IF(AND(OR(J6="Initial Contact",J6="In Discussion",J6="Meeting Scheduled",J6="Engaged"),ISNUMBER(U6),U6&gt;Settings!$B$3),"Yes","No")</f>
        <v>No</v>
      </c>
    </row>
    <row r="7" spans="1:23" ht="15" customHeight="1" x14ac:dyDescent="0.35">
      <c r="A7" s="49" t="s">
        <v>145</v>
      </c>
      <c r="B7" s="49" t="s">
        <v>265</v>
      </c>
      <c r="C7" s="49" t="s">
        <v>217</v>
      </c>
      <c r="D7" s="49" t="s">
        <v>266</v>
      </c>
      <c r="E7" s="49" t="s">
        <v>219</v>
      </c>
      <c r="F7" s="49" t="s">
        <v>267</v>
      </c>
      <c r="G7" s="49" t="s">
        <v>221</v>
      </c>
      <c r="H7" s="49" t="s">
        <v>268</v>
      </c>
      <c r="I7" s="49" t="s">
        <v>221</v>
      </c>
      <c r="J7" s="49" t="s">
        <v>223</v>
      </c>
      <c r="K7" s="49" t="s">
        <v>224</v>
      </c>
      <c r="L7" s="50"/>
      <c r="M7" s="50">
        <v>46249</v>
      </c>
      <c r="N7" s="50"/>
      <c r="O7" s="49">
        <v>2</v>
      </c>
      <c r="P7" s="49" t="s">
        <v>225</v>
      </c>
      <c r="Q7" s="49" t="s">
        <v>225</v>
      </c>
      <c r="R7" s="49" t="s">
        <v>269</v>
      </c>
      <c r="S7" s="49" t="s">
        <v>270</v>
      </c>
      <c r="T7" s="49">
        <v>7</v>
      </c>
      <c r="U7" s="51">
        <f>IF(OR(M7="",M7&gt;Settings!$B$2),"",Settings!$B$2-M7)</f>
        <v>52</v>
      </c>
      <c r="V7" s="51" t="str">
        <f>IF(AND(N7&lt;&gt;"",N7&lt;Settings!$B$2,J7&lt;&gt;"Closed"),"Yes","No")</f>
        <v>No</v>
      </c>
      <c r="W7" s="51" t="str">
        <f>IF(AND(OR(J7="Initial Contact",J7="In Discussion",J7="Meeting Scheduled",J7="Engaged"),ISNUMBER(U7),U7&gt;Settings!$B$3),"Yes","No")</f>
        <v>No</v>
      </c>
    </row>
    <row r="8" spans="1:23" ht="15" customHeight="1" x14ac:dyDescent="0.35">
      <c r="A8" s="49" t="s">
        <v>271</v>
      </c>
      <c r="B8" s="49" t="s">
        <v>272</v>
      </c>
      <c r="C8" s="49" t="s">
        <v>217</v>
      </c>
      <c r="D8" s="49" t="s">
        <v>273</v>
      </c>
      <c r="E8" s="49" t="s">
        <v>251</v>
      </c>
      <c r="F8" s="49" t="s">
        <v>274</v>
      </c>
      <c r="G8" s="49" t="s">
        <v>221</v>
      </c>
      <c r="H8" s="49" t="s">
        <v>275</v>
      </c>
      <c r="I8" s="49" t="s">
        <v>221</v>
      </c>
      <c r="J8" s="49" t="s">
        <v>15</v>
      </c>
      <c r="K8" s="49" t="s">
        <v>276</v>
      </c>
      <c r="L8" s="50">
        <v>45758</v>
      </c>
      <c r="M8" s="50">
        <v>46294</v>
      </c>
      <c r="N8" s="50">
        <v>46316</v>
      </c>
      <c r="O8" s="49"/>
      <c r="P8" s="49" t="s">
        <v>73</v>
      </c>
      <c r="Q8" s="49" t="s">
        <v>277</v>
      </c>
      <c r="R8" s="49" t="s">
        <v>255</v>
      </c>
      <c r="S8" s="49" t="s">
        <v>278</v>
      </c>
      <c r="T8" s="49">
        <v>8</v>
      </c>
      <c r="U8" s="51">
        <f>IF(OR(M8="",M8&gt;Settings!$B$2),"",Settings!$B$2-M8)</f>
        <v>7</v>
      </c>
      <c r="V8" s="51" t="str">
        <f>IF(AND(N8&lt;&gt;"",N8&lt;Settings!$B$2,J8&lt;&gt;"Closed"),"Yes","No")</f>
        <v>No</v>
      </c>
      <c r="W8" s="51" t="str">
        <f>IF(AND(OR(J8="Initial Contact",J8="In Discussion",J8="Meeting Scheduled",J8="Engaged"),ISNUMBER(U8),U8&gt;Settings!$B$3),"Yes","No")</f>
        <v>No</v>
      </c>
    </row>
    <row r="9" spans="1:23" ht="15" customHeight="1" x14ac:dyDescent="0.35">
      <c r="A9" s="49" t="s">
        <v>279</v>
      </c>
      <c r="B9" s="49" t="s">
        <v>280</v>
      </c>
      <c r="C9" s="49" t="s">
        <v>217</v>
      </c>
      <c r="D9" s="49" t="s">
        <v>281</v>
      </c>
      <c r="E9" s="49" t="s">
        <v>251</v>
      </c>
      <c r="F9" s="49" t="s">
        <v>282</v>
      </c>
      <c r="G9" s="49" t="s">
        <v>221</v>
      </c>
      <c r="H9" s="49" t="s">
        <v>283</v>
      </c>
      <c r="I9" s="49" t="s">
        <v>221</v>
      </c>
      <c r="J9" s="49" t="s">
        <v>284</v>
      </c>
      <c r="K9" s="49" t="s">
        <v>276</v>
      </c>
      <c r="L9" s="50">
        <v>46204</v>
      </c>
      <c r="M9" s="50">
        <v>46280</v>
      </c>
      <c r="N9" s="50"/>
      <c r="O9" s="49"/>
      <c r="P9" s="49" t="s">
        <v>244</v>
      </c>
      <c r="Q9" s="49" t="s">
        <v>263</v>
      </c>
      <c r="R9" s="49" t="s">
        <v>285</v>
      </c>
      <c r="S9" s="49" t="s">
        <v>286</v>
      </c>
      <c r="T9" s="49">
        <v>9</v>
      </c>
      <c r="U9" s="51">
        <f>IF(OR(M9="",M9&gt;Settings!$B$2),"",Settings!$B$2-M9)</f>
        <v>21</v>
      </c>
      <c r="V9" s="51" t="str">
        <f>IF(AND(N9&lt;&gt;"",N9&lt;Settings!$B$2,J9&lt;&gt;"Closed"),"Yes","No")</f>
        <v>No</v>
      </c>
      <c r="W9" s="51" t="str">
        <f>IF(AND(OR(J9="Initial Contact",J9="In Discussion",J9="Meeting Scheduled",J9="Engaged"),ISNUMBER(U9),U9&gt;Settings!$B$3),"Yes","No")</f>
        <v>No</v>
      </c>
    </row>
    <row r="10" spans="1:23" ht="15" customHeight="1" x14ac:dyDescent="0.35">
      <c r="A10" s="49" t="s">
        <v>287</v>
      </c>
      <c r="B10" s="49" t="s">
        <v>288</v>
      </c>
      <c r="C10" s="49" t="s">
        <v>217</v>
      </c>
      <c r="D10" s="49" t="s">
        <v>289</v>
      </c>
      <c r="E10" s="49" t="s">
        <v>290</v>
      </c>
      <c r="F10" s="49"/>
      <c r="G10" s="49" t="s">
        <v>291</v>
      </c>
      <c r="H10" s="49"/>
      <c r="I10" s="49" t="s">
        <v>292</v>
      </c>
      <c r="J10" s="49" t="s">
        <v>223</v>
      </c>
      <c r="K10" s="49" t="s">
        <v>293</v>
      </c>
      <c r="L10" s="50"/>
      <c r="M10" s="50"/>
      <c r="N10" s="50"/>
      <c r="O10" s="49">
        <v>0</v>
      </c>
      <c r="P10" s="49" t="s">
        <v>225</v>
      </c>
      <c r="Q10" s="49" t="s">
        <v>225</v>
      </c>
      <c r="R10" s="49" t="s">
        <v>226</v>
      </c>
      <c r="S10" s="49" t="s">
        <v>294</v>
      </c>
      <c r="T10" s="49">
        <v>10</v>
      </c>
      <c r="U10" s="51" t="str">
        <f>IF(OR(M10="",M10&gt;Settings!$B$2),"",Settings!$B$2-M10)</f>
        <v/>
      </c>
      <c r="V10" s="51" t="str">
        <f>IF(AND(N10&lt;&gt;"",N10&lt;Settings!$B$2,J10&lt;&gt;"Closed"),"Yes","No")</f>
        <v>No</v>
      </c>
      <c r="W10" s="51" t="str">
        <f>IF(AND(OR(J10="Initial Contact",J10="In Discussion",J10="Meeting Scheduled",J10="Engaged"),ISNUMBER(U10),U10&gt;Settings!$B$3),"Yes","No")</f>
        <v>No</v>
      </c>
    </row>
    <row r="11" spans="1:23" ht="15" customHeight="1" x14ac:dyDescent="0.35">
      <c r="A11" s="49" t="s">
        <v>295</v>
      </c>
      <c r="B11" s="49" t="s">
        <v>296</v>
      </c>
      <c r="C11" s="49" t="s">
        <v>217</v>
      </c>
      <c r="D11" s="49" t="s">
        <v>297</v>
      </c>
      <c r="E11" s="49" t="s">
        <v>231</v>
      </c>
      <c r="F11" s="49" t="s">
        <v>298</v>
      </c>
      <c r="G11" s="49" t="s">
        <v>221</v>
      </c>
      <c r="H11" s="49" t="s">
        <v>299</v>
      </c>
      <c r="I11" s="49" t="s">
        <v>221</v>
      </c>
      <c r="J11" s="49" t="s">
        <v>234</v>
      </c>
      <c r="K11" s="49" t="s">
        <v>254</v>
      </c>
      <c r="L11" s="50">
        <v>46005</v>
      </c>
      <c r="M11" s="50"/>
      <c r="N11" s="50"/>
      <c r="O11" s="49">
        <v>2</v>
      </c>
      <c r="P11" s="49" t="s">
        <v>73</v>
      </c>
      <c r="Q11" s="49" t="s">
        <v>277</v>
      </c>
      <c r="R11" s="49" t="s">
        <v>300</v>
      </c>
      <c r="S11" s="49" t="s">
        <v>301</v>
      </c>
      <c r="T11" s="49">
        <v>11</v>
      </c>
      <c r="U11" s="51" t="str">
        <f>IF(OR(M11="",M11&gt;Settings!$B$2),"",Settings!$B$2-M11)</f>
        <v/>
      </c>
      <c r="V11" s="51" t="str">
        <f>IF(AND(N11&lt;&gt;"",N11&lt;Settings!$B$2,J11&lt;&gt;"Closed"),"Yes","No")</f>
        <v>No</v>
      </c>
      <c r="W11" s="51" t="str">
        <f>IF(AND(OR(J11="Initial Contact",J11="In Discussion",J11="Meeting Scheduled",J11="Engaged"),ISNUMBER(U11),U11&gt;Settings!$B$3),"Yes","No")</f>
        <v>No</v>
      </c>
    </row>
    <row r="12" spans="1:23" ht="15" customHeight="1" x14ac:dyDescent="0.35">
      <c r="A12" s="49" t="s">
        <v>302</v>
      </c>
      <c r="B12" s="49" t="s">
        <v>303</v>
      </c>
      <c r="C12" s="49" t="s">
        <v>217</v>
      </c>
      <c r="D12" s="49" t="s">
        <v>304</v>
      </c>
      <c r="E12" s="49" t="s">
        <v>290</v>
      </c>
      <c r="F12" s="49" t="s">
        <v>305</v>
      </c>
      <c r="G12" s="49" t="s">
        <v>221</v>
      </c>
      <c r="H12" s="49" t="s">
        <v>306</v>
      </c>
      <c r="I12" s="49" t="s">
        <v>221</v>
      </c>
      <c r="J12" s="49" t="s">
        <v>243</v>
      </c>
      <c r="K12" s="49" t="s">
        <v>235</v>
      </c>
      <c r="L12" s="50">
        <v>45891</v>
      </c>
      <c r="M12" s="50">
        <v>46233</v>
      </c>
      <c r="N12" s="50">
        <v>46310</v>
      </c>
      <c r="O12" s="49">
        <v>2</v>
      </c>
      <c r="P12" s="49" t="s">
        <v>78</v>
      </c>
      <c r="Q12" s="49" t="s">
        <v>197</v>
      </c>
      <c r="R12" s="49" t="s">
        <v>307</v>
      </c>
      <c r="S12" s="49" t="s">
        <v>308</v>
      </c>
      <c r="T12" s="49">
        <v>12</v>
      </c>
      <c r="U12" s="51">
        <f>IF(OR(M12="",M12&gt;Settings!$B$2),"",Settings!$B$2-M12)</f>
        <v>68</v>
      </c>
      <c r="V12" s="51" t="str">
        <f>IF(AND(N12&lt;&gt;"",N12&lt;Settings!$B$2,J12&lt;&gt;"Closed"),"Yes","No")</f>
        <v>No</v>
      </c>
      <c r="W12" s="51" t="str">
        <f>IF(AND(OR(J12="Initial Contact",J12="In Discussion",J12="Meeting Scheduled",J12="Engaged"),ISNUMBER(U12),U12&gt;Settings!$B$3),"Yes","No")</f>
        <v>No</v>
      </c>
    </row>
    <row r="13" spans="1:23" ht="15" customHeight="1" x14ac:dyDescent="0.35">
      <c r="A13" s="49" t="s">
        <v>309</v>
      </c>
      <c r="B13" s="49" t="s">
        <v>310</v>
      </c>
      <c r="C13" s="49" t="s">
        <v>217</v>
      </c>
      <c r="D13" s="49" t="s">
        <v>311</v>
      </c>
      <c r="E13" s="49" t="s">
        <v>312</v>
      </c>
      <c r="F13" s="49" t="s">
        <v>313</v>
      </c>
      <c r="G13" s="49" t="s">
        <v>221</v>
      </c>
      <c r="H13" s="49" t="s">
        <v>314</v>
      </c>
      <c r="I13" s="49" t="s">
        <v>221</v>
      </c>
      <c r="J13" s="49" t="s">
        <v>284</v>
      </c>
      <c r="K13" s="49" t="s">
        <v>254</v>
      </c>
      <c r="L13" s="50">
        <v>46096</v>
      </c>
      <c r="M13" s="50">
        <v>46195</v>
      </c>
      <c r="N13" s="50">
        <v>46215</v>
      </c>
      <c r="O13" s="49">
        <v>6</v>
      </c>
      <c r="P13" s="49" t="s">
        <v>73</v>
      </c>
      <c r="Q13" s="49" t="s">
        <v>197</v>
      </c>
      <c r="R13" s="49" t="s">
        <v>315</v>
      </c>
      <c r="S13" s="49"/>
      <c r="T13" s="49">
        <v>13</v>
      </c>
      <c r="U13" s="51">
        <f>IF(OR(M13="",M13&gt;Settings!$B$2),"",Settings!$B$2-M13)</f>
        <v>106</v>
      </c>
      <c r="V13" s="51" t="str">
        <f>IF(AND(N13&lt;&gt;"",N13&lt;Settings!$B$2,J13&lt;&gt;"Closed"),"Yes","No")</f>
        <v>Yes</v>
      </c>
      <c r="W13" s="51" t="str">
        <f>IF(AND(OR(J13="Initial Contact",J13="In Discussion",J13="Meeting Scheduled",J13="Engaged"),ISNUMBER(U13),U13&gt;Settings!$B$3),"Yes","No")</f>
        <v>Yes</v>
      </c>
    </row>
    <row r="14" spans="1:23" ht="15" customHeight="1" x14ac:dyDescent="0.35">
      <c r="A14" s="49" t="s">
        <v>316</v>
      </c>
      <c r="B14" s="49" t="s">
        <v>317</v>
      </c>
      <c r="C14" s="49" t="s">
        <v>217</v>
      </c>
      <c r="D14" s="49" t="s">
        <v>318</v>
      </c>
      <c r="E14" s="49" t="s">
        <v>312</v>
      </c>
      <c r="F14" s="49" t="s">
        <v>319</v>
      </c>
      <c r="G14" s="49" t="s">
        <v>221</v>
      </c>
      <c r="H14" s="49" t="s">
        <v>320</v>
      </c>
      <c r="I14" s="49" t="s">
        <v>221</v>
      </c>
      <c r="J14" s="49" t="s">
        <v>261</v>
      </c>
      <c r="K14" s="49" t="s">
        <v>321</v>
      </c>
      <c r="L14" s="50">
        <v>45696</v>
      </c>
      <c r="M14" s="50">
        <v>46289</v>
      </c>
      <c r="N14" s="50">
        <v>46321</v>
      </c>
      <c r="O14" s="49">
        <v>5</v>
      </c>
      <c r="P14" s="49" t="s">
        <v>73</v>
      </c>
      <c r="Q14" s="49" t="s">
        <v>197</v>
      </c>
      <c r="R14" s="49" t="s">
        <v>264</v>
      </c>
      <c r="S14" s="49"/>
      <c r="T14" s="49">
        <v>14</v>
      </c>
      <c r="U14" s="51">
        <f>IF(OR(M14="",M14&gt;Settings!$B$2),"",Settings!$B$2-M14)</f>
        <v>12</v>
      </c>
      <c r="V14" s="51" t="str">
        <f>IF(AND(N14&lt;&gt;"",N14&lt;Settings!$B$2,J14&lt;&gt;"Closed"),"Yes","No")</f>
        <v>No</v>
      </c>
      <c r="W14" s="51" t="str">
        <f>IF(AND(OR(J14="Initial Contact",J14="In Discussion",J14="Meeting Scheduled",J14="Engaged"),ISNUMBER(U14),U14&gt;Settings!$B$3),"Yes","No")</f>
        <v>No</v>
      </c>
    </row>
    <row r="15" spans="1:23" ht="15" customHeight="1" x14ac:dyDescent="0.35">
      <c r="A15" s="49" t="s">
        <v>159</v>
      </c>
      <c r="B15" s="49" t="s">
        <v>322</v>
      </c>
      <c r="C15" s="49" t="s">
        <v>217</v>
      </c>
      <c r="D15" s="49" t="s">
        <v>323</v>
      </c>
      <c r="E15" s="49" t="s">
        <v>324</v>
      </c>
      <c r="F15" s="49" t="s">
        <v>325</v>
      </c>
      <c r="G15" s="49" t="s">
        <v>221</v>
      </c>
      <c r="H15" s="49" t="s">
        <v>326</v>
      </c>
      <c r="I15" s="49" t="s">
        <v>221</v>
      </c>
      <c r="J15" s="49" t="s">
        <v>284</v>
      </c>
      <c r="K15" s="49" t="s">
        <v>254</v>
      </c>
      <c r="L15" s="50">
        <v>45917</v>
      </c>
      <c r="M15" s="50">
        <v>46383</v>
      </c>
      <c r="N15" s="50"/>
      <c r="O15" s="49">
        <v>8</v>
      </c>
      <c r="P15" s="49" t="s">
        <v>73</v>
      </c>
      <c r="Q15" s="49" t="s">
        <v>245</v>
      </c>
      <c r="R15" s="49" t="s">
        <v>315</v>
      </c>
      <c r="S15" s="49" t="s">
        <v>327</v>
      </c>
      <c r="T15" s="49">
        <v>15</v>
      </c>
      <c r="U15" s="51" t="str">
        <f>IF(OR(M15="",M15&gt;Settings!$B$2),"",Settings!$B$2-M15)</f>
        <v/>
      </c>
      <c r="V15" s="51" t="str">
        <f>IF(AND(N15&lt;&gt;"",N15&lt;Settings!$B$2,J15&lt;&gt;"Closed"),"Yes","No")</f>
        <v>No</v>
      </c>
      <c r="W15" s="51" t="str">
        <f>IF(AND(OR(J15="Initial Contact",J15="In Discussion",J15="Meeting Scheduled",J15="Engaged"),ISNUMBER(U15),U15&gt;Settings!$B$3),"Yes","No")</f>
        <v>No</v>
      </c>
    </row>
    <row r="16" spans="1:23" ht="15" customHeight="1" x14ac:dyDescent="0.35">
      <c r="A16" s="49" t="s">
        <v>328</v>
      </c>
      <c r="B16" s="49" t="s">
        <v>329</v>
      </c>
      <c r="C16" s="49" t="s">
        <v>217</v>
      </c>
      <c r="D16" s="49" t="s">
        <v>330</v>
      </c>
      <c r="E16" s="49" t="s">
        <v>219</v>
      </c>
      <c r="F16" s="49" t="s">
        <v>331</v>
      </c>
      <c r="G16" s="49" t="s">
        <v>221</v>
      </c>
      <c r="H16" s="49" t="s">
        <v>332</v>
      </c>
      <c r="I16" s="49" t="s">
        <v>221</v>
      </c>
      <c r="J16" s="49" t="s">
        <v>261</v>
      </c>
      <c r="K16" s="49" t="s">
        <v>321</v>
      </c>
      <c r="L16" s="50">
        <v>45729</v>
      </c>
      <c r="M16" s="50">
        <v>46269</v>
      </c>
      <c r="N16" s="50">
        <v>46323</v>
      </c>
      <c r="O16" s="49">
        <v>6</v>
      </c>
      <c r="P16" s="49" t="s">
        <v>64</v>
      </c>
      <c r="Q16" s="49" t="s">
        <v>263</v>
      </c>
      <c r="R16" s="49" t="s">
        <v>333</v>
      </c>
      <c r="S16" s="49" t="s">
        <v>334</v>
      </c>
      <c r="T16" s="49">
        <v>16</v>
      </c>
      <c r="U16" s="51">
        <f>IF(OR(M16="",M16&gt;Settings!$B$2),"",Settings!$B$2-M16)</f>
        <v>32</v>
      </c>
      <c r="V16" s="51" t="str">
        <f>IF(AND(N16&lt;&gt;"",N16&lt;Settings!$B$2,J16&lt;&gt;"Closed"),"Yes","No")</f>
        <v>No</v>
      </c>
      <c r="W16" s="51" t="str">
        <f>IF(AND(OR(J16="Initial Contact",J16="In Discussion",J16="Meeting Scheduled",J16="Engaged"),ISNUMBER(U16),U16&gt;Settings!$B$3),"Yes","No")</f>
        <v>No</v>
      </c>
    </row>
    <row r="17" spans="1:23" ht="15" customHeight="1" x14ac:dyDescent="0.35">
      <c r="A17" s="49" t="s">
        <v>335</v>
      </c>
      <c r="B17" s="49" t="s">
        <v>336</v>
      </c>
      <c r="C17" s="49" t="s">
        <v>217</v>
      </c>
      <c r="D17" s="49" t="s">
        <v>337</v>
      </c>
      <c r="E17" s="49" t="s">
        <v>338</v>
      </c>
      <c r="F17" s="49" t="s">
        <v>339</v>
      </c>
      <c r="G17" s="49" t="s">
        <v>221</v>
      </c>
      <c r="H17" s="49"/>
      <c r="I17" s="49" t="s">
        <v>291</v>
      </c>
      <c r="J17" s="49" t="s">
        <v>234</v>
      </c>
      <c r="K17" s="49" t="s">
        <v>321</v>
      </c>
      <c r="L17" s="50">
        <v>45829</v>
      </c>
      <c r="M17" s="50">
        <v>46299</v>
      </c>
      <c r="N17" s="50"/>
      <c r="O17" s="49">
        <v>2</v>
      </c>
      <c r="P17" s="49" t="s">
        <v>78</v>
      </c>
      <c r="Q17" s="49" t="s">
        <v>263</v>
      </c>
      <c r="R17" s="49" t="s">
        <v>340</v>
      </c>
      <c r="S17" s="49" t="s">
        <v>341</v>
      </c>
      <c r="T17" s="49">
        <v>17</v>
      </c>
      <c r="U17" s="51">
        <f>IF(OR(M17="",M17&gt;Settings!$B$2),"",Settings!$B$2-M17)</f>
        <v>2</v>
      </c>
      <c r="V17" s="51" t="str">
        <f>IF(AND(N17&lt;&gt;"",N17&lt;Settings!$B$2,J17&lt;&gt;"Closed"),"Yes","No")</f>
        <v>No</v>
      </c>
      <c r="W17" s="51" t="str">
        <f>IF(AND(OR(J17="Initial Contact",J17="In Discussion",J17="Meeting Scheduled",J17="Engaged"),ISNUMBER(U17),U17&gt;Settings!$B$3),"Yes","No")</f>
        <v>No</v>
      </c>
    </row>
    <row r="18" spans="1:23" ht="15" customHeight="1" x14ac:dyDescent="0.35">
      <c r="A18" s="49" t="s">
        <v>342</v>
      </c>
      <c r="B18" s="49" t="s">
        <v>343</v>
      </c>
      <c r="C18" s="49" t="s">
        <v>217</v>
      </c>
      <c r="D18" s="49" t="s">
        <v>344</v>
      </c>
      <c r="E18" s="49" t="s">
        <v>312</v>
      </c>
      <c r="F18" s="49" t="s">
        <v>345</v>
      </c>
      <c r="G18" s="49" t="s">
        <v>221</v>
      </c>
      <c r="H18" s="49" t="s">
        <v>346</v>
      </c>
      <c r="I18" s="49" t="s">
        <v>221</v>
      </c>
      <c r="J18" s="49" t="s">
        <v>223</v>
      </c>
      <c r="K18" s="49" t="s">
        <v>276</v>
      </c>
      <c r="L18" s="50"/>
      <c r="M18" s="50"/>
      <c r="N18" s="50"/>
      <c r="O18" s="49">
        <v>0</v>
      </c>
      <c r="P18" s="49" t="s">
        <v>225</v>
      </c>
      <c r="Q18" s="49" t="s">
        <v>225</v>
      </c>
      <c r="R18" s="49" t="s">
        <v>226</v>
      </c>
      <c r="S18" s="49" t="s">
        <v>347</v>
      </c>
      <c r="T18" s="49">
        <v>18</v>
      </c>
      <c r="U18" s="51" t="str">
        <f>IF(OR(M18="",M18&gt;Settings!$B$2),"",Settings!$B$2-M18)</f>
        <v/>
      </c>
      <c r="V18" s="51" t="str">
        <f>IF(AND(N18&lt;&gt;"",N18&lt;Settings!$B$2,J18&lt;&gt;"Closed"),"Yes","No")</f>
        <v>No</v>
      </c>
      <c r="W18" s="51" t="str">
        <f>IF(AND(OR(J18="Initial Contact",J18="In Discussion",J18="Meeting Scheduled",J18="Engaged"),ISNUMBER(U18),U18&gt;Settings!$B$3),"Yes","No")</f>
        <v>No</v>
      </c>
    </row>
    <row r="19" spans="1:23" ht="15" customHeight="1" x14ac:dyDescent="0.35">
      <c r="A19" s="49" t="s">
        <v>152</v>
      </c>
      <c r="B19" s="49" t="s">
        <v>348</v>
      </c>
      <c r="C19" s="49" t="s">
        <v>217</v>
      </c>
      <c r="D19" s="49" t="s">
        <v>349</v>
      </c>
      <c r="E19" s="49" t="s">
        <v>338</v>
      </c>
      <c r="F19" s="49" t="s">
        <v>350</v>
      </c>
      <c r="G19" s="49" t="s">
        <v>221</v>
      </c>
      <c r="H19" s="49" t="s">
        <v>351</v>
      </c>
      <c r="I19" s="49" t="s">
        <v>221</v>
      </c>
      <c r="J19" s="49" t="s">
        <v>261</v>
      </c>
      <c r="K19" s="49" t="s">
        <v>254</v>
      </c>
      <c r="L19" s="50">
        <v>45681</v>
      </c>
      <c r="M19" s="50">
        <v>46087</v>
      </c>
      <c r="N19" s="50">
        <v>46128</v>
      </c>
      <c r="O19" s="49">
        <v>0</v>
      </c>
      <c r="P19" s="49" t="s">
        <v>73</v>
      </c>
      <c r="Q19" s="49" t="s">
        <v>245</v>
      </c>
      <c r="R19" s="49" t="s">
        <v>352</v>
      </c>
      <c r="S19" s="49" t="s">
        <v>353</v>
      </c>
      <c r="T19" s="49">
        <v>19</v>
      </c>
      <c r="U19" s="51">
        <f>IF(OR(M19="",M19&gt;Settings!$B$2),"",Settings!$B$2-M19)</f>
        <v>214</v>
      </c>
      <c r="V19" s="51" t="str">
        <f>IF(AND(N19&lt;&gt;"",N19&lt;Settings!$B$2,J19&lt;&gt;"Closed"),"Yes","No")</f>
        <v>Yes</v>
      </c>
      <c r="W19" s="51" t="str">
        <f>IF(AND(OR(J19="Initial Contact",J19="In Discussion",J19="Meeting Scheduled",J19="Engaged"),ISNUMBER(U19),U19&gt;Settings!$B$3),"Yes","No")</f>
        <v>Yes</v>
      </c>
    </row>
    <row r="20" spans="1:23" ht="15" customHeight="1" x14ac:dyDescent="0.35">
      <c r="A20" s="49" t="s">
        <v>354</v>
      </c>
      <c r="B20" s="49" t="s">
        <v>355</v>
      </c>
      <c r="C20" s="49" t="s">
        <v>217</v>
      </c>
      <c r="D20" s="49" t="s">
        <v>356</v>
      </c>
      <c r="E20" s="49" t="s">
        <v>338</v>
      </c>
      <c r="F20" s="49" t="s">
        <v>357</v>
      </c>
      <c r="G20" s="49" t="s">
        <v>221</v>
      </c>
      <c r="H20" s="49" t="s">
        <v>358</v>
      </c>
      <c r="I20" s="49" t="s">
        <v>221</v>
      </c>
      <c r="J20" s="49" t="s">
        <v>243</v>
      </c>
      <c r="K20" s="49" t="s">
        <v>262</v>
      </c>
      <c r="L20" s="50">
        <v>46168</v>
      </c>
      <c r="M20" s="50">
        <v>46273</v>
      </c>
      <c r="N20" s="50">
        <v>46379</v>
      </c>
      <c r="O20" s="49">
        <v>4</v>
      </c>
      <c r="P20" s="49" t="s">
        <v>78</v>
      </c>
      <c r="Q20" s="49" t="s">
        <v>277</v>
      </c>
      <c r="R20" s="49" t="s">
        <v>246</v>
      </c>
      <c r="S20" s="49" t="s">
        <v>334</v>
      </c>
      <c r="T20" s="49">
        <v>20</v>
      </c>
      <c r="U20" s="51">
        <f>IF(OR(M20="",M20&gt;Settings!$B$2),"",Settings!$B$2-M20)</f>
        <v>28</v>
      </c>
      <c r="V20" s="51" t="str">
        <f>IF(AND(N20&lt;&gt;"",N20&lt;Settings!$B$2,J20&lt;&gt;"Closed"),"Yes","No")</f>
        <v>No</v>
      </c>
      <c r="W20" s="51" t="str">
        <f>IF(AND(OR(J20="Initial Contact",J20="In Discussion",J20="Meeting Scheduled",J20="Engaged"),ISNUMBER(U20),U20&gt;Settings!$B$3),"Yes","No")</f>
        <v>No</v>
      </c>
    </row>
    <row r="21" spans="1:23" ht="15" customHeight="1" x14ac:dyDescent="0.35">
      <c r="A21" s="49" t="s">
        <v>359</v>
      </c>
      <c r="B21" s="49" t="s">
        <v>360</v>
      </c>
      <c r="C21" s="49" t="s">
        <v>217</v>
      </c>
      <c r="D21" s="49" t="s">
        <v>266</v>
      </c>
      <c r="E21" s="49" t="s">
        <v>324</v>
      </c>
      <c r="F21" s="49" t="s">
        <v>361</v>
      </c>
      <c r="G21" s="49" t="s">
        <v>221</v>
      </c>
      <c r="H21" s="49" t="s">
        <v>362</v>
      </c>
      <c r="I21" s="49" t="s">
        <v>221</v>
      </c>
      <c r="J21" s="49" t="s">
        <v>15</v>
      </c>
      <c r="K21" s="49" t="s">
        <v>224</v>
      </c>
      <c r="L21" s="50">
        <v>46002</v>
      </c>
      <c r="M21" s="50">
        <v>46083</v>
      </c>
      <c r="N21" s="50">
        <v>46122</v>
      </c>
      <c r="O21" s="49">
        <v>18</v>
      </c>
      <c r="P21" s="49" t="s">
        <v>64</v>
      </c>
      <c r="Q21" s="49" t="s">
        <v>277</v>
      </c>
      <c r="R21" s="49" t="s">
        <v>255</v>
      </c>
      <c r="S21" s="49"/>
      <c r="T21" s="49">
        <v>21</v>
      </c>
      <c r="U21" s="51">
        <f>IF(OR(M21="",M21&gt;Settings!$B$2),"",Settings!$B$2-M21)</f>
        <v>218</v>
      </c>
      <c r="V21" s="51" t="str">
        <f>IF(AND(N21&lt;&gt;"",N21&lt;Settings!$B$2,J21&lt;&gt;"Closed"),"Yes","No")</f>
        <v>Yes</v>
      </c>
      <c r="W21" s="51" t="str">
        <f>IF(AND(OR(J21="Initial Contact",J21="In Discussion",J21="Meeting Scheduled",J21="Engaged"),ISNUMBER(U21),U21&gt;Settings!$B$3),"Yes","No")</f>
        <v>Yes</v>
      </c>
    </row>
    <row r="22" spans="1:23" ht="15" customHeight="1" x14ac:dyDescent="0.35">
      <c r="A22" s="49" t="s">
        <v>363</v>
      </c>
      <c r="B22" s="49" t="s">
        <v>364</v>
      </c>
      <c r="C22" s="49" t="s">
        <v>365</v>
      </c>
      <c r="D22" s="49" t="s">
        <v>366</v>
      </c>
      <c r="E22" s="49" t="s">
        <v>219</v>
      </c>
      <c r="F22" s="49" t="s">
        <v>367</v>
      </c>
      <c r="G22" s="49" t="s">
        <v>221</v>
      </c>
      <c r="H22" s="49" t="s">
        <v>368</v>
      </c>
      <c r="I22" s="49" t="s">
        <v>221</v>
      </c>
      <c r="J22" s="49" t="s">
        <v>284</v>
      </c>
      <c r="K22" s="49" t="s">
        <v>254</v>
      </c>
      <c r="L22" s="50">
        <v>45820</v>
      </c>
      <c r="M22" s="50">
        <v>46252</v>
      </c>
      <c r="N22" s="50">
        <v>46280</v>
      </c>
      <c r="O22" s="49">
        <v>8</v>
      </c>
      <c r="P22" s="49" t="s">
        <v>73</v>
      </c>
      <c r="Q22" s="49" t="s">
        <v>369</v>
      </c>
      <c r="R22" s="49" t="s">
        <v>315</v>
      </c>
      <c r="S22" s="49" t="s">
        <v>370</v>
      </c>
      <c r="T22" s="49">
        <v>22</v>
      </c>
      <c r="U22" s="51">
        <f>IF(OR(M22="",M22&gt;Settings!$B$2),"",Settings!$B$2-M22)</f>
        <v>49</v>
      </c>
      <c r="V22" s="51" t="str">
        <f>IF(AND(N22&lt;&gt;"",N22&lt;Settings!$B$2,J22&lt;&gt;"Closed"),"Yes","No")</f>
        <v>Yes</v>
      </c>
      <c r="W22" s="51" t="str">
        <f>IF(AND(OR(J22="Initial Contact",J22="In Discussion",J22="Meeting Scheduled",J22="Engaged"),ISNUMBER(U22),U22&gt;Settings!$B$3),"Yes","No")</f>
        <v>No</v>
      </c>
    </row>
    <row r="23" spans="1:23" ht="15" customHeight="1" x14ac:dyDescent="0.35">
      <c r="A23" s="49" t="s">
        <v>154</v>
      </c>
      <c r="B23" s="49" t="s">
        <v>371</v>
      </c>
      <c r="C23" s="49" t="s">
        <v>365</v>
      </c>
      <c r="D23" s="49" t="s">
        <v>372</v>
      </c>
      <c r="E23" s="49" t="s">
        <v>290</v>
      </c>
      <c r="F23" s="49" t="s">
        <v>373</v>
      </c>
      <c r="G23" s="49" t="s">
        <v>221</v>
      </c>
      <c r="H23" s="49" t="s">
        <v>374</v>
      </c>
      <c r="I23" s="49" t="s">
        <v>221</v>
      </c>
      <c r="J23" s="49" t="s">
        <v>15</v>
      </c>
      <c r="K23" s="49" t="s">
        <v>276</v>
      </c>
      <c r="L23" s="50">
        <v>45945</v>
      </c>
      <c r="M23" s="50">
        <v>46253</v>
      </c>
      <c r="N23" s="50">
        <v>46275</v>
      </c>
      <c r="O23" s="49">
        <v>0</v>
      </c>
      <c r="P23" s="49" t="s">
        <v>244</v>
      </c>
      <c r="Q23" s="49" t="s">
        <v>369</v>
      </c>
      <c r="R23" s="49" t="s">
        <v>375</v>
      </c>
      <c r="S23" s="49" t="s">
        <v>376</v>
      </c>
      <c r="T23" s="49">
        <v>23</v>
      </c>
      <c r="U23" s="51">
        <f>IF(OR(M23="",M23&gt;Settings!$B$2),"",Settings!$B$2-M23)</f>
        <v>48</v>
      </c>
      <c r="V23" s="51" t="str">
        <f>IF(AND(N23&lt;&gt;"",N23&lt;Settings!$B$2,J23&lt;&gt;"Closed"),"Yes","No")</f>
        <v>Yes</v>
      </c>
      <c r="W23" s="51" t="str">
        <f>IF(AND(OR(J23="Initial Contact",J23="In Discussion",J23="Meeting Scheduled",J23="Engaged"),ISNUMBER(U23),U23&gt;Settings!$B$3),"Yes","No")</f>
        <v>No</v>
      </c>
    </row>
    <row r="24" spans="1:23" ht="15" customHeight="1" x14ac:dyDescent="0.35">
      <c r="A24" s="49" t="s">
        <v>377</v>
      </c>
      <c r="B24" s="49" t="s">
        <v>378</v>
      </c>
      <c r="C24" s="49" t="s">
        <v>365</v>
      </c>
      <c r="D24" s="49" t="s">
        <v>337</v>
      </c>
      <c r="E24" s="49" t="s">
        <v>290</v>
      </c>
      <c r="F24" s="49" t="s">
        <v>379</v>
      </c>
      <c r="G24" s="49" t="s">
        <v>221</v>
      </c>
      <c r="H24" s="49" t="s">
        <v>380</v>
      </c>
      <c r="I24" s="49" t="s">
        <v>221</v>
      </c>
      <c r="J24" s="49" t="s">
        <v>15</v>
      </c>
      <c r="K24" s="49" t="s">
        <v>276</v>
      </c>
      <c r="L24" s="50">
        <v>45769</v>
      </c>
      <c r="M24" s="50">
        <v>46292</v>
      </c>
      <c r="N24" s="50">
        <v>46335</v>
      </c>
      <c r="O24" s="49">
        <v>8</v>
      </c>
      <c r="P24" s="49" t="s">
        <v>64</v>
      </c>
      <c r="Q24" s="49" t="s">
        <v>197</v>
      </c>
      <c r="R24" s="49" t="s">
        <v>381</v>
      </c>
      <c r="S24" s="49"/>
      <c r="T24" s="49">
        <v>24</v>
      </c>
      <c r="U24" s="51">
        <f>IF(OR(M24="",M24&gt;Settings!$B$2),"",Settings!$B$2-M24)</f>
        <v>9</v>
      </c>
      <c r="V24" s="51" t="str">
        <f>IF(AND(N24&lt;&gt;"",N24&lt;Settings!$B$2,J24&lt;&gt;"Closed"),"Yes","No")</f>
        <v>No</v>
      </c>
      <c r="W24" s="51" t="str">
        <f>IF(AND(OR(J24="Initial Contact",J24="In Discussion",J24="Meeting Scheduled",J24="Engaged"),ISNUMBER(U24),U24&gt;Settings!$B$3),"Yes","No")</f>
        <v>No</v>
      </c>
    </row>
    <row r="25" spans="1:23" ht="15" customHeight="1" x14ac:dyDescent="0.35">
      <c r="A25" s="49" t="s">
        <v>382</v>
      </c>
      <c r="B25" s="49" t="s">
        <v>383</v>
      </c>
      <c r="C25" s="49" t="s">
        <v>365</v>
      </c>
      <c r="D25" s="49" t="s">
        <v>384</v>
      </c>
      <c r="E25" s="49" t="s">
        <v>251</v>
      </c>
      <c r="F25" s="49" t="s">
        <v>385</v>
      </c>
      <c r="G25" s="49" t="s">
        <v>221</v>
      </c>
      <c r="H25" s="49" t="s">
        <v>386</v>
      </c>
      <c r="I25" s="49" t="s">
        <v>221</v>
      </c>
      <c r="J25" s="49" t="s">
        <v>234</v>
      </c>
      <c r="K25" s="49" t="s">
        <v>293</v>
      </c>
      <c r="L25" s="50">
        <v>46172</v>
      </c>
      <c r="M25" s="50">
        <v>46173</v>
      </c>
      <c r="N25" s="50">
        <v>46228</v>
      </c>
      <c r="O25" s="49">
        <v>2</v>
      </c>
      <c r="P25" s="49" t="s">
        <v>73</v>
      </c>
      <c r="Q25" s="49" t="s">
        <v>369</v>
      </c>
      <c r="R25" s="49" t="s">
        <v>236</v>
      </c>
      <c r="S25" s="49" t="s">
        <v>387</v>
      </c>
      <c r="T25" s="49">
        <v>25</v>
      </c>
      <c r="U25" s="51">
        <f>IF(OR(M25="",M25&gt;Settings!$B$2),"",Settings!$B$2-M25)</f>
        <v>128</v>
      </c>
      <c r="V25" s="51" t="str">
        <f>IF(AND(N25&lt;&gt;"",N25&lt;Settings!$B$2,J25&lt;&gt;"Closed"),"Yes","No")</f>
        <v>Yes</v>
      </c>
      <c r="W25" s="51" t="str">
        <f>IF(AND(OR(J25="Initial Contact",J25="In Discussion",J25="Meeting Scheduled",J25="Engaged"),ISNUMBER(U25),U25&gt;Settings!$B$3),"Yes","No")</f>
        <v>Yes</v>
      </c>
    </row>
    <row r="26" spans="1:23" ht="15" customHeight="1" x14ac:dyDescent="0.35">
      <c r="A26" s="49" t="s">
        <v>388</v>
      </c>
      <c r="B26" s="49" t="s">
        <v>389</v>
      </c>
      <c r="C26" s="49" t="s">
        <v>365</v>
      </c>
      <c r="D26" s="49" t="s">
        <v>390</v>
      </c>
      <c r="E26" s="49" t="s">
        <v>251</v>
      </c>
      <c r="F26" s="49" t="s">
        <v>391</v>
      </c>
      <c r="G26" s="49" t="s">
        <v>221</v>
      </c>
      <c r="H26" s="49"/>
      <c r="I26" s="49" t="s">
        <v>292</v>
      </c>
      <c r="J26" s="49" t="s">
        <v>234</v>
      </c>
      <c r="K26" s="49" t="s">
        <v>235</v>
      </c>
      <c r="L26" s="50">
        <v>45997</v>
      </c>
      <c r="M26" s="50">
        <v>46246</v>
      </c>
      <c r="N26" s="50">
        <v>46271</v>
      </c>
      <c r="O26" s="49">
        <v>1</v>
      </c>
      <c r="P26" s="49" t="s">
        <v>73</v>
      </c>
      <c r="Q26" s="49" t="s">
        <v>369</v>
      </c>
      <c r="R26" s="49" t="s">
        <v>340</v>
      </c>
      <c r="S26" s="49" t="s">
        <v>392</v>
      </c>
      <c r="T26" s="49">
        <v>26</v>
      </c>
      <c r="U26" s="51">
        <f>IF(OR(M26="",M26&gt;Settings!$B$2),"",Settings!$B$2-M26)</f>
        <v>55</v>
      </c>
      <c r="V26" s="51" t="str">
        <f>IF(AND(N26&lt;&gt;"",N26&lt;Settings!$B$2,J26&lt;&gt;"Closed"),"Yes","No")</f>
        <v>Yes</v>
      </c>
      <c r="W26" s="51" t="str">
        <f>IF(AND(OR(J26="Initial Contact",J26="In Discussion",J26="Meeting Scheduled",J26="Engaged"),ISNUMBER(U26),U26&gt;Settings!$B$3),"Yes","No")</f>
        <v>No</v>
      </c>
    </row>
    <row r="27" spans="1:23" ht="15" customHeight="1" x14ac:dyDescent="0.35">
      <c r="A27" s="49" t="s">
        <v>178</v>
      </c>
      <c r="B27" s="49" t="s">
        <v>393</v>
      </c>
      <c r="C27" s="49" t="s">
        <v>365</v>
      </c>
      <c r="D27" s="49" t="s">
        <v>394</v>
      </c>
      <c r="E27" s="49" t="s">
        <v>219</v>
      </c>
      <c r="F27" s="49" t="s">
        <v>395</v>
      </c>
      <c r="G27" s="49" t="s">
        <v>221</v>
      </c>
      <c r="H27" s="49" t="s">
        <v>396</v>
      </c>
      <c r="I27" s="49" t="s">
        <v>221</v>
      </c>
      <c r="J27" s="49" t="s">
        <v>397</v>
      </c>
      <c r="K27" s="49" t="s">
        <v>321</v>
      </c>
      <c r="L27" s="50">
        <v>45811</v>
      </c>
      <c r="M27" s="50">
        <v>46216</v>
      </c>
      <c r="N27" s="50"/>
      <c r="O27" s="49">
        <v>2</v>
      </c>
      <c r="P27" s="49" t="s">
        <v>78</v>
      </c>
      <c r="Q27" s="49" t="s">
        <v>197</v>
      </c>
      <c r="R27" s="49" t="s">
        <v>398</v>
      </c>
      <c r="S27" s="49" t="s">
        <v>399</v>
      </c>
      <c r="T27" s="49">
        <v>27</v>
      </c>
      <c r="U27" s="51">
        <f>IF(OR(M27="",M27&gt;Settings!$B$2),"",Settings!$B$2-M27)</f>
        <v>85</v>
      </c>
      <c r="V27" s="51" t="str">
        <f>IF(AND(N27&lt;&gt;"",N27&lt;Settings!$B$2,J27&lt;&gt;"Closed"),"Yes","No")</f>
        <v>No</v>
      </c>
      <c r="W27" s="51" t="str">
        <f>IF(AND(OR(J27="Initial Contact",J27="In Discussion",J27="Meeting Scheduled",J27="Engaged"),ISNUMBER(U27),U27&gt;Settings!$B$3),"Yes","No")</f>
        <v>No</v>
      </c>
    </row>
    <row r="28" spans="1:23" ht="15" customHeight="1" x14ac:dyDescent="0.35">
      <c r="A28" s="49" t="s">
        <v>400</v>
      </c>
      <c r="B28" s="49" t="s">
        <v>401</v>
      </c>
      <c r="C28" s="49" t="s">
        <v>365</v>
      </c>
      <c r="D28" s="49" t="s">
        <v>402</v>
      </c>
      <c r="E28" s="49" t="s">
        <v>290</v>
      </c>
      <c r="F28" s="49" t="s">
        <v>403</v>
      </c>
      <c r="G28" s="49" t="s">
        <v>221</v>
      </c>
      <c r="H28" s="49" t="s">
        <v>404</v>
      </c>
      <c r="I28" s="49" t="s">
        <v>221</v>
      </c>
      <c r="J28" s="49" t="s">
        <v>15</v>
      </c>
      <c r="K28" s="49" t="s">
        <v>235</v>
      </c>
      <c r="L28" s="50">
        <v>46140</v>
      </c>
      <c r="M28" s="50">
        <v>46277</v>
      </c>
      <c r="N28" s="50">
        <v>46294</v>
      </c>
      <c r="O28" s="49">
        <v>12</v>
      </c>
      <c r="P28" s="49" t="s">
        <v>64</v>
      </c>
      <c r="Q28" s="49" t="s">
        <v>277</v>
      </c>
      <c r="R28" s="49" t="s">
        <v>405</v>
      </c>
      <c r="S28" s="49"/>
      <c r="T28" s="49">
        <v>28</v>
      </c>
      <c r="U28" s="51">
        <f>IF(OR(M28="",M28&gt;Settings!$B$2),"",Settings!$B$2-M28)</f>
        <v>24</v>
      </c>
      <c r="V28" s="51" t="str">
        <f>IF(AND(N28&lt;&gt;"",N28&lt;Settings!$B$2,J28&lt;&gt;"Closed"),"Yes","No")</f>
        <v>Yes</v>
      </c>
      <c r="W28" s="51" t="str">
        <f>IF(AND(OR(J28="Initial Contact",J28="In Discussion",J28="Meeting Scheduled",J28="Engaged"),ISNUMBER(U28),U28&gt;Settings!$B$3),"Yes","No")</f>
        <v>No</v>
      </c>
    </row>
    <row r="29" spans="1:23" ht="15" customHeight="1" x14ac:dyDescent="0.35">
      <c r="A29" s="49" t="s">
        <v>148</v>
      </c>
      <c r="B29" s="49" t="s">
        <v>406</v>
      </c>
      <c r="C29" s="49" t="s">
        <v>365</v>
      </c>
      <c r="D29" s="49" t="s">
        <v>407</v>
      </c>
      <c r="E29" s="49" t="s">
        <v>231</v>
      </c>
      <c r="F29" s="49" t="s">
        <v>408</v>
      </c>
      <c r="G29" s="49" t="s">
        <v>221</v>
      </c>
      <c r="H29" s="49" t="s">
        <v>409</v>
      </c>
      <c r="I29" s="49" t="s">
        <v>221</v>
      </c>
      <c r="J29" s="49" t="s">
        <v>223</v>
      </c>
      <c r="K29" s="49" t="s">
        <v>224</v>
      </c>
      <c r="L29" s="50"/>
      <c r="M29" s="50">
        <v>46199</v>
      </c>
      <c r="N29" s="50"/>
      <c r="O29" s="49">
        <v>1</v>
      </c>
      <c r="P29" s="49" t="s">
        <v>225</v>
      </c>
      <c r="Q29" s="49" t="s">
        <v>225</v>
      </c>
      <c r="R29" s="49" t="s">
        <v>269</v>
      </c>
      <c r="S29" s="49" t="s">
        <v>353</v>
      </c>
      <c r="T29" s="49">
        <v>29</v>
      </c>
      <c r="U29" s="51">
        <f>IF(OR(M29="",M29&gt;Settings!$B$2),"",Settings!$B$2-M29)</f>
        <v>102</v>
      </c>
      <c r="V29" s="51" t="str">
        <f>IF(AND(N29&lt;&gt;"",N29&lt;Settings!$B$2,J29&lt;&gt;"Closed"),"Yes","No")</f>
        <v>No</v>
      </c>
      <c r="W29" s="51" t="str">
        <f>IF(AND(OR(J29="Initial Contact",J29="In Discussion",J29="Meeting Scheduled",J29="Engaged"),ISNUMBER(U29),U29&gt;Settings!$B$3),"Yes","No")</f>
        <v>No</v>
      </c>
    </row>
    <row r="30" spans="1:23" ht="15" customHeight="1" x14ac:dyDescent="0.35">
      <c r="A30" s="49" t="s">
        <v>410</v>
      </c>
      <c r="B30" s="49" t="s">
        <v>411</v>
      </c>
      <c r="C30" s="49" t="s">
        <v>365</v>
      </c>
      <c r="D30" s="49" t="s">
        <v>412</v>
      </c>
      <c r="E30" s="49" t="s">
        <v>290</v>
      </c>
      <c r="F30" s="49" t="s">
        <v>413</v>
      </c>
      <c r="G30" s="49" t="s">
        <v>221</v>
      </c>
      <c r="H30" s="49" t="s">
        <v>414</v>
      </c>
      <c r="I30" s="49" t="s">
        <v>221</v>
      </c>
      <c r="J30" s="49" t="s">
        <v>261</v>
      </c>
      <c r="K30" s="49" t="s">
        <v>254</v>
      </c>
      <c r="L30" s="50">
        <v>46053</v>
      </c>
      <c r="M30" s="50">
        <v>46272</v>
      </c>
      <c r="N30" s="50">
        <v>46313</v>
      </c>
      <c r="O30" s="49">
        <v>6</v>
      </c>
      <c r="P30" s="49" t="s">
        <v>73</v>
      </c>
      <c r="Q30" s="49" t="s">
        <v>197</v>
      </c>
      <c r="R30" s="49" t="s">
        <v>352</v>
      </c>
      <c r="S30" s="49"/>
      <c r="T30" s="49">
        <v>30</v>
      </c>
      <c r="U30" s="51">
        <f>IF(OR(M30="",M30&gt;Settings!$B$2),"",Settings!$B$2-M30)</f>
        <v>29</v>
      </c>
      <c r="V30" s="51" t="str">
        <f>IF(AND(N30&lt;&gt;"",N30&lt;Settings!$B$2,J30&lt;&gt;"Closed"),"Yes","No")</f>
        <v>No</v>
      </c>
      <c r="W30" s="51" t="str">
        <f>IF(AND(OR(J30="Initial Contact",J30="In Discussion",J30="Meeting Scheduled",J30="Engaged"),ISNUMBER(U30),U30&gt;Settings!$B$3),"Yes","No")</f>
        <v>No</v>
      </c>
    </row>
    <row r="31" spans="1:23" ht="15" customHeight="1" x14ac:dyDescent="0.35">
      <c r="A31" s="49" t="s">
        <v>415</v>
      </c>
      <c r="B31" s="49" t="s">
        <v>416</v>
      </c>
      <c r="C31" s="49" t="s">
        <v>365</v>
      </c>
      <c r="D31" s="49" t="s">
        <v>417</v>
      </c>
      <c r="E31" s="49" t="s">
        <v>338</v>
      </c>
      <c r="F31" s="49" t="s">
        <v>418</v>
      </c>
      <c r="G31" s="49" t="s">
        <v>221</v>
      </c>
      <c r="H31" s="49" t="s">
        <v>419</v>
      </c>
      <c r="I31" s="49" t="s">
        <v>221</v>
      </c>
      <c r="J31" s="49" t="s">
        <v>243</v>
      </c>
      <c r="K31" s="49" t="s">
        <v>254</v>
      </c>
      <c r="L31" s="50">
        <v>46232</v>
      </c>
      <c r="M31" s="50">
        <v>46241</v>
      </c>
      <c r="N31" s="50">
        <v>46348</v>
      </c>
      <c r="O31" s="49">
        <v>6</v>
      </c>
      <c r="P31" s="49" t="s">
        <v>78</v>
      </c>
      <c r="Q31" s="49" t="s">
        <v>277</v>
      </c>
      <c r="R31" s="49" t="s">
        <v>420</v>
      </c>
      <c r="S31" s="49" t="s">
        <v>421</v>
      </c>
      <c r="T31" s="49">
        <v>31</v>
      </c>
      <c r="U31" s="51">
        <f>IF(OR(M31="",M31&gt;Settings!$B$2),"",Settings!$B$2-M31)</f>
        <v>60</v>
      </c>
      <c r="V31" s="51" t="str">
        <f>IF(AND(N31&lt;&gt;"",N31&lt;Settings!$B$2,J31&lt;&gt;"Closed"),"Yes","No")</f>
        <v>No</v>
      </c>
      <c r="W31" s="51" t="str">
        <f>IF(AND(OR(J31="Initial Contact",J31="In Discussion",J31="Meeting Scheduled",J31="Engaged"),ISNUMBER(U31),U31&gt;Settings!$B$3),"Yes","No")</f>
        <v>No</v>
      </c>
    </row>
    <row r="32" spans="1:23" ht="15" customHeight="1" x14ac:dyDescent="0.35">
      <c r="A32" s="49" t="s">
        <v>422</v>
      </c>
      <c r="B32" s="49" t="s">
        <v>423</v>
      </c>
      <c r="C32" s="49" t="s">
        <v>365</v>
      </c>
      <c r="D32" s="49" t="s">
        <v>424</v>
      </c>
      <c r="E32" s="49" t="s">
        <v>324</v>
      </c>
      <c r="F32" s="49" t="s">
        <v>425</v>
      </c>
      <c r="G32" s="49" t="s">
        <v>221</v>
      </c>
      <c r="H32" s="49" t="s">
        <v>426</v>
      </c>
      <c r="I32" s="49" t="s">
        <v>221</v>
      </c>
      <c r="J32" s="49" t="s">
        <v>284</v>
      </c>
      <c r="K32" s="49" t="s">
        <v>235</v>
      </c>
      <c r="L32" s="50">
        <v>46210</v>
      </c>
      <c r="M32" s="50">
        <v>46218</v>
      </c>
      <c r="N32" s="50">
        <v>46250</v>
      </c>
      <c r="O32" s="49">
        <v>8</v>
      </c>
      <c r="P32" s="49" t="s">
        <v>244</v>
      </c>
      <c r="Q32" s="49" t="s">
        <v>245</v>
      </c>
      <c r="R32" s="49" t="s">
        <v>427</v>
      </c>
      <c r="S32" s="49" t="s">
        <v>428</v>
      </c>
      <c r="T32" s="49">
        <v>32</v>
      </c>
      <c r="U32" s="51">
        <f>IF(OR(M32="",M32&gt;Settings!$B$2),"",Settings!$B$2-M32)</f>
        <v>83</v>
      </c>
      <c r="V32" s="51" t="str">
        <f>IF(AND(N32&lt;&gt;"",N32&lt;Settings!$B$2,J32&lt;&gt;"Closed"),"Yes","No")</f>
        <v>Yes</v>
      </c>
      <c r="W32" s="51" t="str">
        <f>IF(AND(OR(J32="Initial Contact",J32="In Discussion",J32="Meeting Scheduled",J32="Engaged"),ISNUMBER(U32),U32&gt;Settings!$B$3),"Yes","No")</f>
        <v>No</v>
      </c>
    </row>
    <row r="33" spans="1:23" ht="15" customHeight="1" x14ac:dyDescent="0.35">
      <c r="A33" s="49" t="s">
        <v>429</v>
      </c>
      <c r="B33" s="49" t="s">
        <v>430</v>
      </c>
      <c r="C33" s="49" t="s">
        <v>365</v>
      </c>
      <c r="D33" s="49" t="s">
        <v>431</v>
      </c>
      <c r="E33" s="49" t="s">
        <v>312</v>
      </c>
      <c r="F33" s="49" t="s">
        <v>432</v>
      </c>
      <c r="G33" s="49" t="s">
        <v>221</v>
      </c>
      <c r="H33" s="49" t="s">
        <v>433</v>
      </c>
      <c r="I33" s="49" t="s">
        <v>221</v>
      </c>
      <c r="J33" s="49" t="s">
        <v>261</v>
      </c>
      <c r="K33" s="49" t="s">
        <v>321</v>
      </c>
      <c r="L33" s="50">
        <v>46205</v>
      </c>
      <c r="M33" s="50"/>
      <c r="N33" s="50">
        <v>46307</v>
      </c>
      <c r="O33" s="49">
        <v>5</v>
      </c>
      <c r="P33" s="49" t="s">
        <v>73</v>
      </c>
      <c r="Q33" s="49" t="s">
        <v>245</v>
      </c>
      <c r="R33" s="49" t="s">
        <v>434</v>
      </c>
      <c r="S33" s="49"/>
      <c r="T33" s="49">
        <v>33</v>
      </c>
      <c r="U33" s="51" t="str">
        <f>IF(OR(M33="",M33&gt;Settings!$B$2),"",Settings!$B$2-M33)</f>
        <v/>
      </c>
      <c r="V33" s="51" t="str">
        <f>IF(AND(N33&lt;&gt;"",N33&lt;Settings!$B$2,J33&lt;&gt;"Closed"),"Yes","No")</f>
        <v>No</v>
      </c>
      <c r="W33" s="51" t="str">
        <f>IF(AND(OR(J33="Initial Contact",J33="In Discussion",J33="Meeting Scheduled",J33="Engaged"),ISNUMBER(U33),U33&gt;Settings!$B$3),"Yes","No")</f>
        <v>No</v>
      </c>
    </row>
    <row r="34" spans="1:23" ht="15" customHeight="1" x14ac:dyDescent="0.35">
      <c r="A34" s="49" t="s">
        <v>435</v>
      </c>
      <c r="B34" s="49" t="s">
        <v>436</v>
      </c>
      <c r="C34" s="49" t="s">
        <v>365</v>
      </c>
      <c r="D34" s="49" t="s">
        <v>437</v>
      </c>
      <c r="E34" s="49" t="s">
        <v>312</v>
      </c>
      <c r="F34" s="49" t="s">
        <v>438</v>
      </c>
      <c r="G34" s="49" t="s">
        <v>292</v>
      </c>
      <c r="H34" s="49" t="s">
        <v>439</v>
      </c>
      <c r="I34" s="49" t="s">
        <v>221</v>
      </c>
      <c r="J34" s="49" t="s">
        <v>261</v>
      </c>
      <c r="K34" s="49" t="s">
        <v>254</v>
      </c>
      <c r="L34" s="50">
        <v>46065</v>
      </c>
      <c r="M34" s="50">
        <v>46236</v>
      </c>
      <c r="N34" s="50">
        <v>46279</v>
      </c>
      <c r="O34" s="49">
        <v>5</v>
      </c>
      <c r="P34" s="49" t="s">
        <v>73</v>
      </c>
      <c r="Q34" s="49" t="s">
        <v>369</v>
      </c>
      <c r="R34" s="49" t="s">
        <v>352</v>
      </c>
      <c r="S34" s="49" t="s">
        <v>440</v>
      </c>
      <c r="T34" s="49">
        <v>34</v>
      </c>
      <c r="U34" s="51">
        <f>IF(OR(M34="",M34&gt;Settings!$B$2),"",Settings!$B$2-M34)</f>
        <v>65</v>
      </c>
      <c r="V34" s="51" t="str">
        <f>IF(AND(N34&lt;&gt;"",N34&lt;Settings!$B$2,J34&lt;&gt;"Closed"),"Yes","No")</f>
        <v>Yes</v>
      </c>
      <c r="W34" s="51" t="str">
        <f>IF(AND(OR(J34="Initial Contact",J34="In Discussion",J34="Meeting Scheduled",J34="Engaged"),ISNUMBER(U34),U34&gt;Settings!$B$3),"Yes","No")</f>
        <v>No</v>
      </c>
    </row>
    <row r="35" spans="1:23" ht="15" customHeight="1" x14ac:dyDescent="0.35">
      <c r="A35" s="49" t="s">
        <v>441</v>
      </c>
      <c r="B35" s="49" t="s">
        <v>442</v>
      </c>
      <c r="C35" s="49" t="s">
        <v>365</v>
      </c>
      <c r="D35" s="49" t="s">
        <v>443</v>
      </c>
      <c r="E35" s="49" t="s">
        <v>219</v>
      </c>
      <c r="F35" s="49" t="s">
        <v>444</v>
      </c>
      <c r="G35" s="49" t="s">
        <v>221</v>
      </c>
      <c r="H35" s="49" t="s">
        <v>445</v>
      </c>
      <c r="I35" s="49" t="s">
        <v>221</v>
      </c>
      <c r="J35" s="49" t="s">
        <v>261</v>
      </c>
      <c r="K35" s="49" t="s">
        <v>293</v>
      </c>
      <c r="L35" s="50">
        <v>46097</v>
      </c>
      <c r="M35" s="50">
        <v>46299</v>
      </c>
      <c r="N35" s="50">
        <v>46328</v>
      </c>
      <c r="O35" s="49">
        <v>3</v>
      </c>
      <c r="P35" s="49" t="s">
        <v>78</v>
      </c>
      <c r="Q35" s="49" t="s">
        <v>197</v>
      </c>
      <c r="R35" s="49" t="s">
        <v>375</v>
      </c>
      <c r="S35" s="49" t="s">
        <v>387</v>
      </c>
      <c r="T35" s="49">
        <v>35</v>
      </c>
      <c r="U35" s="51">
        <f>IF(OR(M35="",M35&gt;Settings!$B$2),"",Settings!$B$2-M35)</f>
        <v>2</v>
      </c>
      <c r="V35" s="51" t="str">
        <f>IF(AND(N35&lt;&gt;"",N35&lt;Settings!$B$2,J35&lt;&gt;"Closed"),"Yes","No")</f>
        <v>No</v>
      </c>
      <c r="W35" s="51" t="str">
        <f>IF(AND(OR(J35="Initial Contact",J35="In Discussion",J35="Meeting Scheduled",J35="Engaged"),ISNUMBER(U35),U35&gt;Settings!$B$3),"Yes","No")</f>
        <v>No</v>
      </c>
    </row>
    <row r="36" spans="1:23" ht="15" customHeight="1" x14ac:dyDescent="0.35">
      <c r="A36" s="49" t="s">
        <v>446</v>
      </c>
      <c r="B36" s="49" t="s">
        <v>447</v>
      </c>
      <c r="C36" s="49" t="s">
        <v>448</v>
      </c>
      <c r="D36" s="49" t="s">
        <v>449</v>
      </c>
      <c r="E36" s="49" t="s">
        <v>290</v>
      </c>
      <c r="F36" s="49" t="s">
        <v>450</v>
      </c>
      <c r="G36" s="49" t="s">
        <v>221</v>
      </c>
      <c r="H36" s="49" t="s">
        <v>451</v>
      </c>
      <c r="I36" s="49" t="s">
        <v>221</v>
      </c>
      <c r="J36" s="49" t="s">
        <v>243</v>
      </c>
      <c r="K36" s="49" t="s">
        <v>321</v>
      </c>
      <c r="L36" s="50">
        <v>45720</v>
      </c>
      <c r="M36" s="50">
        <v>46294</v>
      </c>
      <c r="N36" s="50">
        <v>46395</v>
      </c>
      <c r="O36" s="49">
        <v>4</v>
      </c>
      <c r="P36" s="49" t="s">
        <v>78</v>
      </c>
      <c r="Q36" s="49" t="s">
        <v>197</v>
      </c>
      <c r="R36" s="49" t="s">
        <v>246</v>
      </c>
      <c r="S36" s="49" t="s">
        <v>421</v>
      </c>
      <c r="T36" s="49">
        <v>36</v>
      </c>
      <c r="U36" s="51">
        <f>IF(OR(M36="",M36&gt;Settings!$B$2),"",Settings!$B$2-M36)</f>
        <v>7</v>
      </c>
      <c r="V36" s="51" t="str">
        <f>IF(AND(N36&lt;&gt;"",N36&lt;Settings!$B$2,J36&lt;&gt;"Closed"),"Yes","No")</f>
        <v>No</v>
      </c>
      <c r="W36" s="51" t="str">
        <f>IF(AND(OR(J36="Initial Contact",J36="In Discussion",J36="Meeting Scheduled",J36="Engaged"),ISNUMBER(U36),U36&gt;Settings!$B$3),"Yes","No")</f>
        <v>No</v>
      </c>
    </row>
    <row r="37" spans="1:23" ht="15" customHeight="1" x14ac:dyDescent="0.35">
      <c r="A37" s="49" t="s">
        <v>452</v>
      </c>
      <c r="B37" s="49" t="s">
        <v>453</v>
      </c>
      <c r="C37" s="49" t="s">
        <v>448</v>
      </c>
      <c r="D37" s="49" t="s">
        <v>454</v>
      </c>
      <c r="E37" s="49" t="s">
        <v>312</v>
      </c>
      <c r="F37" s="49" t="s">
        <v>455</v>
      </c>
      <c r="G37" s="49" t="s">
        <v>221</v>
      </c>
      <c r="H37" s="49" t="s">
        <v>456</v>
      </c>
      <c r="I37" s="49" t="s">
        <v>221</v>
      </c>
      <c r="J37" s="49" t="s">
        <v>284</v>
      </c>
      <c r="K37" s="49" t="s">
        <v>276</v>
      </c>
      <c r="L37" s="50">
        <v>45687</v>
      </c>
      <c r="M37" s="50">
        <v>46282</v>
      </c>
      <c r="N37" s="50">
        <v>46301</v>
      </c>
      <c r="O37" s="49">
        <v>8</v>
      </c>
      <c r="P37" s="49" t="s">
        <v>64</v>
      </c>
      <c r="Q37" s="49" t="s">
        <v>263</v>
      </c>
      <c r="R37" s="49" t="s">
        <v>285</v>
      </c>
      <c r="S37" s="49" t="s">
        <v>334</v>
      </c>
      <c r="T37" s="49">
        <v>37</v>
      </c>
      <c r="U37" s="51">
        <f>IF(OR(M37="",M37&gt;Settings!$B$2),"",Settings!$B$2-M37)</f>
        <v>19</v>
      </c>
      <c r="V37" s="51" t="str">
        <f>IF(AND(N37&lt;&gt;"",N37&lt;Settings!$B$2,J37&lt;&gt;"Closed"),"Yes","No")</f>
        <v>No</v>
      </c>
      <c r="W37" s="51" t="str">
        <f>IF(AND(OR(J37="Initial Contact",J37="In Discussion",J37="Meeting Scheduled",J37="Engaged"),ISNUMBER(U37),U37&gt;Settings!$B$3),"Yes","No")</f>
        <v>No</v>
      </c>
    </row>
    <row r="38" spans="1:23" ht="15" customHeight="1" x14ac:dyDescent="0.35">
      <c r="A38" s="49" t="s">
        <v>457</v>
      </c>
      <c r="B38" s="49" t="s">
        <v>458</v>
      </c>
      <c r="C38" s="49" t="s">
        <v>448</v>
      </c>
      <c r="D38" s="49" t="s">
        <v>459</v>
      </c>
      <c r="E38" s="49" t="s">
        <v>338</v>
      </c>
      <c r="F38" s="49" t="s">
        <v>460</v>
      </c>
      <c r="G38" s="49" t="s">
        <v>221</v>
      </c>
      <c r="H38" s="49" t="s">
        <v>461</v>
      </c>
      <c r="I38" s="49" t="s">
        <v>221</v>
      </c>
      <c r="J38" s="49" t="s">
        <v>15</v>
      </c>
      <c r="K38" s="49" t="s">
        <v>254</v>
      </c>
      <c r="L38" s="50">
        <v>45814</v>
      </c>
      <c r="M38" s="50">
        <v>46287</v>
      </c>
      <c r="N38" s="50">
        <v>46306</v>
      </c>
      <c r="O38" s="49">
        <v>16</v>
      </c>
      <c r="P38" s="49" t="s">
        <v>64</v>
      </c>
      <c r="Q38" s="49" t="s">
        <v>369</v>
      </c>
      <c r="R38" s="49" t="s">
        <v>381</v>
      </c>
      <c r="S38" s="49"/>
      <c r="T38" s="49">
        <v>38</v>
      </c>
      <c r="U38" s="51">
        <f>IF(OR(M38="",M38&gt;Settings!$B$2),"",Settings!$B$2-M38)</f>
        <v>14</v>
      </c>
      <c r="V38" s="51" t="str">
        <f>IF(AND(N38&lt;&gt;"",N38&lt;Settings!$B$2,J38&lt;&gt;"Closed"),"Yes","No")</f>
        <v>No</v>
      </c>
      <c r="W38" s="51" t="str">
        <f>IF(AND(OR(J38="Initial Contact",J38="In Discussion",J38="Meeting Scheduled",J38="Engaged"),ISNUMBER(U38),U38&gt;Settings!$B$3),"Yes","No")</f>
        <v>No</v>
      </c>
    </row>
    <row r="39" spans="1:23" ht="15" customHeight="1" x14ac:dyDescent="0.35">
      <c r="A39" s="49" t="s">
        <v>162</v>
      </c>
      <c r="B39" s="49" t="s">
        <v>462</v>
      </c>
      <c r="C39" s="49" t="s">
        <v>448</v>
      </c>
      <c r="D39" s="49" t="s">
        <v>463</v>
      </c>
      <c r="E39" s="49" t="s">
        <v>290</v>
      </c>
      <c r="F39" s="49" t="s">
        <v>464</v>
      </c>
      <c r="G39" s="49" t="s">
        <v>221</v>
      </c>
      <c r="H39" s="49" t="s">
        <v>465</v>
      </c>
      <c r="I39" s="49" t="s">
        <v>221</v>
      </c>
      <c r="J39" s="49" t="s">
        <v>234</v>
      </c>
      <c r="K39" s="49" t="s">
        <v>276</v>
      </c>
      <c r="L39" s="50">
        <v>45771</v>
      </c>
      <c r="M39" s="50">
        <v>46332</v>
      </c>
      <c r="N39" s="50">
        <v>46308</v>
      </c>
      <c r="O39" s="49">
        <v>2</v>
      </c>
      <c r="P39" s="49" t="s">
        <v>78</v>
      </c>
      <c r="Q39" s="49" t="s">
        <v>263</v>
      </c>
      <c r="R39" s="49" t="s">
        <v>340</v>
      </c>
      <c r="S39" s="49" t="s">
        <v>466</v>
      </c>
      <c r="T39" s="49">
        <v>39</v>
      </c>
      <c r="U39" s="51" t="str">
        <f>IF(OR(M39="",M39&gt;Settings!$B$2),"",Settings!$B$2-M39)</f>
        <v/>
      </c>
      <c r="V39" s="51" t="str">
        <f>IF(AND(N39&lt;&gt;"",N39&lt;Settings!$B$2,J39&lt;&gt;"Closed"),"Yes","No")</f>
        <v>No</v>
      </c>
      <c r="W39" s="51" t="str">
        <f>IF(AND(OR(J39="Initial Contact",J39="In Discussion",J39="Meeting Scheduled",J39="Engaged"),ISNUMBER(U39),U39&gt;Settings!$B$3),"Yes","No")</f>
        <v>No</v>
      </c>
    </row>
    <row r="40" spans="1:23" ht="15" customHeight="1" x14ac:dyDescent="0.35">
      <c r="A40" s="49" t="s">
        <v>467</v>
      </c>
      <c r="B40" s="49" t="s">
        <v>468</v>
      </c>
      <c r="C40" s="49" t="s">
        <v>448</v>
      </c>
      <c r="D40" s="49" t="s">
        <v>356</v>
      </c>
      <c r="E40" s="49" t="s">
        <v>324</v>
      </c>
      <c r="F40" s="49" t="s">
        <v>469</v>
      </c>
      <c r="G40" s="49" t="s">
        <v>221</v>
      </c>
      <c r="H40" s="49" t="s">
        <v>470</v>
      </c>
      <c r="I40" s="49" t="s">
        <v>221</v>
      </c>
      <c r="J40" s="49" t="s">
        <v>261</v>
      </c>
      <c r="K40" s="49" t="s">
        <v>293</v>
      </c>
      <c r="L40" s="50">
        <v>45928</v>
      </c>
      <c r="M40" s="50">
        <v>46280</v>
      </c>
      <c r="N40" s="50">
        <v>46320</v>
      </c>
      <c r="O40" s="49">
        <v>5</v>
      </c>
      <c r="P40" s="49" t="s">
        <v>244</v>
      </c>
      <c r="Q40" s="49" t="s">
        <v>369</v>
      </c>
      <c r="R40" s="49" t="s">
        <v>333</v>
      </c>
      <c r="S40" s="49" t="s">
        <v>471</v>
      </c>
      <c r="T40" s="49">
        <v>40</v>
      </c>
      <c r="U40" s="51">
        <f>IF(OR(M40="",M40&gt;Settings!$B$2),"",Settings!$B$2-M40)</f>
        <v>21</v>
      </c>
      <c r="V40" s="51" t="str">
        <f>IF(AND(N40&lt;&gt;"",N40&lt;Settings!$B$2,J40&lt;&gt;"Closed"),"Yes","No")</f>
        <v>No</v>
      </c>
      <c r="W40" s="51" t="str">
        <f>IF(AND(OR(J40="Initial Contact",J40="In Discussion",J40="Meeting Scheduled",J40="Engaged"),ISNUMBER(U40),U40&gt;Settings!$B$3),"Yes","No")</f>
        <v>No</v>
      </c>
    </row>
    <row r="41" spans="1:23" ht="15" customHeight="1" x14ac:dyDescent="0.35">
      <c r="A41" s="49" t="s">
        <v>472</v>
      </c>
      <c r="B41" s="49" t="s">
        <v>473</v>
      </c>
      <c r="C41" s="49" t="s">
        <v>448</v>
      </c>
      <c r="D41" s="49" t="s">
        <v>463</v>
      </c>
      <c r="E41" s="49" t="s">
        <v>324</v>
      </c>
      <c r="F41" s="49" t="s">
        <v>474</v>
      </c>
      <c r="G41" s="49" t="s">
        <v>221</v>
      </c>
      <c r="H41" s="49" t="s">
        <v>475</v>
      </c>
      <c r="I41" s="49" t="s">
        <v>221</v>
      </c>
      <c r="J41" s="49" t="s">
        <v>15</v>
      </c>
      <c r="K41" s="49" t="s">
        <v>276</v>
      </c>
      <c r="L41" s="50">
        <v>46227</v>
      </c>
      <c r="M41" s="50">
        <v>46245</v>
      </c>
      <c r="N41" s="50"/>
      <c r="O41" s="49">
        <v>20</v>
      </c>
      <c r="P41" s="49" t="s">
        <v>64</v>
      </c>
      <c r="Q41" s="49" t="s">
        <v>197</v>
      </c>
      <c r="R41" s="49" t="s">
        <v>255</v>
      </c>
      <c r="S41" s="49" t="s">
        <v>301</v>
      </c>
      <c r="T41" s="49">
        <v>41</v>
      </c>
      <c r="U41" s="51">
        <f>IF(OR(M41="",M41&gt;Settings!$B$2),"",Settings!$B$2-M41)</f>
        <v>56</v>
      </c>
      <c r="V41" s="51" t="str">
        <f>IF(AND(N41&lt;&gt;"",N41&lt;Settings!$B$2,J41&lt;&gt;"Closed"),"Yes","No")</f>
        <v>No</v>
      </c>
      <c r="W41" s="51" t="str">
        <f>IF(AND(OR(J41="Initial Contact",J41="In Discussion",J41="Meeting Scheduled",J41="Engaged"),ISNUMBER(U41),U41&gt;Settings!$B$3),"Yes","No")</f>
        <v>No</v>
      </c>
    </row>
    <row r="42" spans="1:23" ht="15" customHeight="1" x14ac:dyDescent="0.35">
      <c r="A42" s="49" t="s">
        <v>476</v>
      </c>
      <c r="B42" s="49" t="s">
        <v>477</v>
      </c>
      <c r="C42" s="49" t="s">
        <v>448</v>
      </c>
      <c r="D42" s="49" t="s">
        <v>402</v>
      </c>
      <c r="E42" s="49" t="s">
        <v>231</v>
      </c>
      <c r="F42" s="49" t="s">
        <v>478</v>
      </c>
      <c r="G42" s="49" t="s">
        <v>221</v>
      </c>
      <c r="H42" s="49" t="s">
        <v>479</v>
      </c>
      <c r="I42" s="49" t="s">
        <v>221</v>
      </c>
      <c r="J42" s="49" t="s">
        <v>243</v>
      </c>
      <c r="K42" s="49" t="s">
        <v>224</v>
      </c>
      <c r="L42" s="50">
        <v>46095</v>
      </c>
      <c r="M42" s="50">
        <v>46277</v>
      </c>
      <c r="N42" s="50">
        <v>46377</v>
      </c>
      <c r="O42" s="49">
        <v>6</v>
      </c>
      <c r="P42" s="49" t="s">
        <v>244</v>
      </c>
      <c r="Q42" s="49" t="s">
        <v>245</v>
      </c>
      <c r="R42" s="49" t="s">
        <v>246</v>
      </c>
      <c r="S42" s="49" t="s">
        <v>480</v>
      </c>
      <c r="T42" s="49">
        <v>42</v>
      </c>
      <c r="U42" s="51">
        <f>IF(OR(M42="",M42&gt;Settings!$B$2),"",Settings!$B$2-M42)</f>
        <v>24</v>
      </c>
      <c r="V42" s="51" t="str">
        <f>IF(AND(N42&lt;&gt;"",N42&lt;Settings!$B$2,J42&lt;&gt;"Closed"),"Yes","No")</f>
        <v>No</v>
      </c>
      <c r="W42" s="51" t="str">
        <f>IF(AND(OR(J42="Initial Contact",J42="In Discussion",J42="Meeting Scheduled",J42="Engaged"),ISNUMBER(U42),U42&gt;Settings!$B$3),"Yes","No")</f>
        <v>No</v>
      </c>
    </row>
    <row r="43" spans="1:23" ht="15" customHeight="1" x14ac:dyDescent="0.35">
      <c r="A43" s="49" t="s">
        <v>481</v>
      </c>
      <c r="B43" s="49" t="s">
        <v>482</v>
      </c>
      <c r="C43" s="49" t="s">
        <v>448</v>
      </c>
      <c r="D43" s="49" t="s">
        <v>483</v>
      </c>
      <c r="E43" s="49" t="s">
        <v>338</v>
      </c>
      <c r="F43" s="49" t="s">
        <v>484</v>
      </c>
      <c r="G43" s="49" t="s">
        <v>221</v>
      </c>
      <c r="H43" s="49" t="s">
        <v>485</v>
      </c>
      <c r="I43" s="49" t="s">
        <v>221</v>
      </c>
      <c r="J43" s="49" t="s">
        <v>261</v>
      </c>
      <c r="K43" s="49" t="s">
        <v>254</v>
      </c>
      <c r="L43" s="50">
        <v>46156</v>
      </c>
      <c r="M43" s="50">
        <v>46169</v>
      </c>
      <c r="N43" s="50">
        <v>46210</v>
      </c>
      <c r="O43" s="49">
        <v>5</v>
      </c>
      <c r="P43" s="49" t="s">
        <v>73</v>
      </c>
      <c r="Q43" s="49" t="s">
        <v>245</v>
      </c>
      <c r="R43" s="49" t="s">
        <v>264</v>
      </c>
      <c r="S43" s="49" t="s">
        <v>308</v>
      </c>
      <c r="T43" s="49">
        <v>43</v>
      </c>
      <c r="U43" s="51">
        <f>IF(OR(M43="",M43&gt;Settings!$B$2),"",Settings!$B$2-M43)</f>
        <v>132</v>
      </c>
      <c r="V43" s="51" t="str">
        <f>IF(AND(N43&lt;&gt;"",N43&lt;Settings!$B$2,J43&lt;&gt;"Closed"),"Yes","No")</f>
        <v>Yes</v>
      </c>
      <c r="W43" s="51" t="str">
        <f>IF(AND(OR(J43="Initial Contact",J43="In Discussion",J43="Meeting Scheduled",J43="Engaged"),ISNUMBER(U43),U43&gt;Settings!$B$3),"Yes","No")</f>
        <v>Yes</v>
      </c>
    </row>
    <row r="44" spans="1:23" ht="15" customHeight="1" x14ac:dyDescent="0.35">
      <c r="A44" s="49" t="s">
        <v>486</v>
      </c>
      <c r="B44" s="49" t="s">
        <v>487</v>
      </c>
      <c r="C44" s="49" t="s">
        <v>448</v>
      </c>
      <c r="D44" s="49" t="s">
        <v>488</v>
      </c>
      <c r="E44" s="49" t="s">
        <v>312</v>
      </c>
      <c r="F44" s="49" t="s">
        <v>489</v>
      </c>
      <c r="G44" s="49" t="s">
        <v>221</v>
      </c>
      <c r="H44" s="49" t="s">
        <v>490</v>
      </c>
      <c r="I44" s="49" t="s">
        <v>221</v>
      </c>
      <c r="J44" s="49" t="s">
        <v>243</v>
      </c>
      <c r="K44" s="49" t="s">
        <v>321</v>
      </c>
      <c r="L44" s="50">
        <v>45867</v>
      </c>
      <c r="M44" s="50">
        <v>46068</v>
      </c>
      <c r="N44" s="50">
        <v>46183</v>
      </c>
      <c r="O44" s="49">
        <v>2</v>
      </c>
      <c r="P44" s="49" t="s">
        <v>78</v>
      </c>
      <c r="Q44" s="49" t="s">
        <v>197</v>
      </c>
      <c r="R44" s="49" t="s">
        <v>420</v>
      </c>
      <c r="S44" s="49" t="s">
        <v>347</v>
      </c>
      <c r="T44" s="49">
        <v>44</v>
      </c>
      <c r="U44" s="51">
        <f>IF(OR(M44="",M44&gt;Settings!$B$2),"",Settings!$B$2-M44)</f>
        <v>233</v>
      </c>
      <c r="V44" s="51" t="str">
        <f>IF(AND(N44&lt;&gt;"",N44&lt;Settings!$B$2,J44&lt;&gt;"Closed"),"Yes","No")</f>
        <v>Yes</v>
      </c>
      <c r="W44" s="51" t="str">
        <f>IF(AND(OR(J44="Initial Contact",J44="In Discussion",J44="Meeting Scheduled",J44="Engaged"),ISNUMBER(U44),U44&gt;Settings!$B$3),"Yes","No")</f>
        <v>No</v>
      </c>
    </row>
    <row r="45" spans="1:23" ht="15" customHeight="1" x14ac:dyDescent="0.35">
      <c r="A45" s="49" t="s">
        <v>491</v>
      </c>
      <c r="B45" s="49" t="s">
        <v>492</v>
      </c>
      <c r="C45" s="49" t="s">
        <v>448</v>
      </c>
      <c r="D45" s="49" t="s">
        <v>493</v>
      </c>
      <c r="E45" s="49" t="s">
        <v>324</v>
      </c>
      <c r="F45" s="49" t="s">
        <v>494</v>
      </c>
      <c r="G45" s="49" t="s">
        <v>221</v>
      </c>
      <c r="H45" s="49"/>
      <c r="I45" s="49" t="s">
        <v>292</v>
      </c>
      <c r="J45" s="49" t="s">
        <v>397</v>
      </c>
      <c r="K45" s="49" t="s">
        <v>235</v>
      </c>
      <c r="L45" s="50">
        <v>45772</v>
      </c>
      <c r="M45" s="50">
        <v>46105</v>
      </c>
      <c r="N45" s="50"/>
      <c r="O45" s="49">
        <v>2</v>
      </c>
      <c r="P45" s="49" t="s">
        <v>78</v>
      </c>
      <c r="Q45" s="49" t="s">
        <v>369</v>
      </c>
      <c r="R45" s="49" t="s">
        <v>495</v>
      </c>
      <c r="S45" s="49" t="s">
        <v>392</v>
      </c>
      <c r="T45" s="49">
        <v>45</v>
      </c>
      <c r="U45" s="51">
        <f>IF(OR(M45="",M45&gt;Settings!$B$2),"",Settings!$B$2-M45)</f>
        <v>196</v>
      </c>
      <c r="V45" s="51" t="str">
        <f>IF(AND(N45&lt;&gt;"",N45&lt;Settings!$B$2,J45&lt;&gt;"Closed"),"Yes","No")</f>
        <v>No</v>
      </c>
      <c r="W45" s="51" t="str">
        <f>IF(AND(OR(J45="Initial Contact",J45="In Discussion",J45="Meeting Scheduled",J45="Engaged"),ISNUMBER(U45),U45&gt;Settings!$B$3),"Yes","No")</f>
        <v>No</v>
      </c>
    </row>
    <row r="46" spans="1:23" ht="15" customHeight="1" x14ac:dyDescent="0.35">
      <c r="A46" s="49" t="s">
        <v>496</v>
      </c>
      <c r="B46" s="49" t="s">
        <v>497</v>
      </c>
      <c r="C46" s="49" t="s">
        <v>498</v>
      </c>
      <c r="D46" s="49" t="s">
        <v>499</v>
      </c>
      <c r="E46" s="49" t="s">
        <v>324</v>
      </c>
      <c r="F46" s="49" t="s">
        <v>500</v>
      </c>
      <c r="G46" s="49" t="s">
        <v>221</v>
      </c>
      <c r="H46" s="49" t="s">
        <v>501</v>
      </c>
      <c r="I46" s="49" t="s">
        <v>221</v>
      </c>
      <c r="J46" s="49" t="s">
        <v>15</v>
      </c>
      <c r="K46" s="49" t="s">
        <v>224</v>
      </c>
      <c r="L46" s="50">
        <v>45911</v>
      </c>
      <c r="M46" s="50">
        <v>46231</v>
      </c>
      <c r="N46" s="50">
        <v>46278</v>
      </c>
      <c r="O46" s="49">
        <v>10</v>
      </c>
      <c r="P46" s="49" t="s">
        <v>64</v>
      </c>
      <c r="Q46" s="49" t="s">
        <v>197</v>
      </c>
      <c r="R46" s="49" t="s">
        <v>255</v>
      </c>
      <c r="S46" s="49"/>
      <c r="T46" s="49">
        <v>46</v>
      </c>
      <c r="U46" s="51">
        <f>IF(OR(M46="",M46&gt;Settings!$B$2),"",Settings!$B$2-M46)</f>
        <v>70</v>
      </c>
      <c r="V46" s="51" t="str">
        <f>IF(AND(N46&lt;&gt;"",N46&lt;Settings!$B$2,J46&lt;&gt;"Closed"),"Yes","No")</f>
        <v>Yes</v>
      </c>
      <c r="W46" s="51" t="str">
        <f>IF(AND(OR(J46="Initial Contact",J46="In Discussion",J46="Meeting Scheduled",J46="Engaged"),ISNUMBER(U46),U46&gt;Settings!$B$3),"Yes","No")</f>
        <v>No</v>
      </c>
    </row>
    <row r="47" spans="1:23" ht="15" customHeight="1" x14ac:dyDescent="0.35">
      <c r="A47" s="49" t="s">
        <v>168</v>
      </c>
      <c r="B47" s="49" t="s">
        <v>502</v>
      </c>
      <c r="C47" s="49" t="s">
        <v>448</v>
      </c>
      <c r="D47" s="49" t="s">
        <v>503</v>
      </c>
      <c r="E47" s="49" t="s">
        <v>312</v>
      </c>
      <c r="F47" s="49" t="s">
        <v>504</v>
      </c>
      <c r="G47" s="49" t="s">
        <v>221</v>
      </c>
      <c r="H47" s="49" t="s">
        <v>505</v>
      </c>
      <c r="I47" s="49" t="s">
        <v>221</v>
      </c>
      <c r="J47" s="49" t="s">
        <v>397</v>
      </c>
      <c r="K47" s="49" t="s">
        <v>276</v>
      </c>
      <c r="L47" s="50">
        <v>46235</v>
      </c>
      <c r="M47" s="50">
        <v>46017</v>
      </c>
      <c r="N47" s="50"/>
      <c r="O47" s="49"/>
      <c r="P47" s="49" t="s">
        <v>78</v>
      </c>
      <c r="Q47" s="49" t="s">
        <v>263</v>
      </c>
      <c r="R47" s="49" t="s">
        <v>495</v>
      </c>
      <c r="S47" s="49" t="s">
        <v>506</v>
      </c>
      <c r="T47" s="49">
        <v>47</v>
      </c>
      <c r="U47" s="51">
        <f>IF(OR(M47="",M47&gt;Settings!$B$2),"",Settings!$B$2-M47)</f>
        <v>284</v>
      </c>
      <c r="V47" s="51" t="str">
        <f>IF(AND(N47&lt;&gt;"",N47&lt;Settings!$B$2,J47&lt;&gt;"Closed"),"Yes","No")</f>
        <v>No</v>
      </c>
      <c r="W47" s="51" t="str">
        <f>IF(AND(OR(J47="Initial Contact",J47="In Discussion",J47="Meeting Scheduled",J47="Engaged"),ISNUMBER(U47),U47&gt;Settings!$B$3),"Yes","No")</f>
        <v>No</v>
      </c>
    </row>
    <row r="48" spans="1:23" ht="15" customHeight="1" x14ac:dyDescent="0.35">
      <c r="A48" s="49" t="s">
        <v>156</v>
      </c>
      <c r="B48" s="49" t="s">
        <v>507</v>
      </c>
      <c r="C48" s="49" t="s">
        <v>448</v>
      </c>
      <c r="D48" s="49" t="s">
        <v>266</v>
      </c>
      <c r="E48" s="49" t="s">
        <v>312</v>
      </c>
      <c r="F48" s="49" t="s">
        <v>508</v>
      </c>
      <c r="G48" s="49" t="s">
        <v>221</v>
      </c>
      <c r="H48" s="49" t="s">
        <v>509</v>
      </c>
      <c r="I48" s="49" t="s">
        <v>221</v>
      </c>
      <c r="J48" s="49" t="s">
        <v>15</v>
      </c>
      <c r="K48" s="49" t="s">
        <v>235</v>
      </c>
      <c r="L48" s="50">
        <v>46149</v>
      </c>
      <c r="M48" s="50"/>
      <c r="N48" s="50">
        <v>46358</v>
      </c>
      <c r="O48" s="49">
        <v>0</v>
      </c>
      <c r="P48" s="49" t="s">
        <v>64</v>
      </c>
      <c r="Q48" s="49" t="s">
        <v>263</v>
      </c>
      <c r="R48" s="49" t="s">
        <v>510</v>
      </c>
      <c r="S48" s="49" t="s">
        <v>353</v>
      </c>
      <c r="T48" s="49">
        <v>48</v>
      </c>
      <c r="U48" s="51" t="str">
        <f>IF(OR(M48="",M48&gt;Settings!$B$2),"",Settings!$B$2-M48)</f>
        <v/>
      </c>
      <c r="V48" s="51" t="str">
        <f>IF(AND(N48&lt;&gt;"",N48&lt;Settings!$B$2,J48&lt;&gt;"Closed"),"Yes","No")</f>
        <v>No</v>
      </c>
      <c r="W48" s="51" t="str">
        <f>IF(AND(OR(J48="Initial Contact",J48="In Discussion",J48="Meeting Scheduled",J48="Engaged"),ISNUMBER(U48),U48&gt;Settings!$B$3),"Yes","No")</f>
        <v>No</v>
      </c>
    </row>
    <row r="49" spans="1:23" ht="15" customHeight="1" x14ac:dyDescent="0.35">
      <c r="A49" s="49" t="s">
        <v>511</v>
      </c>
      <c r="B49" s="49" t="s">
        <v>512</v>
      </c>
      <c r="C49" s="49" t="s">
        <v>217</v>
      </c>
      <c r="D49" s="49" t="s">
        <v>513</v>
      </c>
      <c r="E49" s="49" t="s">
        <v>290</v>
      </c>
      <c r="F49" s="49"/>
      <c r="G49" s="49" t="s">
        <v>291</v>
      </c>
      <c r="H49" s="49" t="s">
        <v>514</v>
      </c>
      <c r="I49" s="49" t="s">
        <v>221</v>
      </c>
      <c r="J49" s="49" t="s">
        <v>234</v>
      </c>
      <c r="K49" s="49" t="s">
        <v>224</v>
      </c>
      <c r="L49" s="50">
        <v>45968</v>
      </c>
      <c r="M49" s="50">
        <v>46272</v>
      </c>
      <c r="N49" s="50">
        <v>46312</v>
      </c>
      <c r="O49" s="49">
        <v>1</v>
      </c>
      <c r="P49" s="49" t="s">
        <v>73</v>
      </c>
      <c r="Q49" s="49" t="s">
        <v>245</v>
      </c>
      <c r="R49" s="49" t="s">
        <v>515</v>
      </c>
      <c r="S49" s="49" t="s">
        <v>516</v>
      </c>
      <c r="T49" s="49">
        <v>49</v>
      </c>
      <c r="U49" s="51">
        <f>IF(OR(M49="",M49&gt;Settings!$B$2),"",Settings!$B$2-M49)</f>
        <v>29</v>
      </c>
      <c r="V49" s="51" t="str">
        <f>IF(AND(N49&lt;&gt;"",N49&lt;Settings!$B$2,J49&lt;&gt;"Closed"),"Yes","No")</f>
        <v>No</v>
      </c>
      <c r="W49" s="51" t="str">
        <f>IF(AND(OR(J49="Initial Contact",J49="In Discussion",J49="Meeting Scheduled",J49="Engaged"),ISNUMBER(U49),U49&gt;Settings!$B$3),"Yes","No")</f>
        <v>No</v>
      </c>
    </row>
    <row r="50" spans="1:23" ht="15" customHeight="1" x14ac:dyDescent="0.35">
      <c r="A50" s="49" t="s">
        <v>517</v>
      </c>
      <c r="B50" s="49" t="s">
        <v>518</v>
      </c>
      <c r="C50" s="49" t="s">
        <v>498</v>
      </c>
      <c r="D50" s="49" t="s">
        <v>519</v>
      </c>
      <c r="E50" s="49" t="s">
        <v>338</v>
      </c>
      <c r="F50" s="49" t="s">
        <v>520</v>
      </c>
      <c r="G50" s="49" t="s">
        <v>292</v>
      </c>
      <c r="H50" s="49" t="s">
        <v>521</v>
      </c>
      <c r="I50" s="49" t="s">
        <v>221</v>
      </c>
      <c r="J50" s="49" t="s">
        <v>243</v>
      </c>
      <c r="K50" s="49" t="s">
        <v>235</v>
      </c>
      <c r="L50" s="50">
        <v>46221</v>
      </c>
      <c r="M50" s="50">
        <v>46287</v>
      </c>
      <c r="N50" s="50">
        <v>46392</v>
      </c>
      <c r="O50" s="49"/>
      <c r="P50" s="49" t="s">
        <v>78</v>
      </c>
      <c r="Q50" s="49" t="s">
        <v>277</v>
      </c>
      <c r="R50" s="49" t="s">
        <v>307</v>
      </c>
      <c r="S50" s="49" t="s">
        <v>522</v>
      </c>
      <c r="T50" s="49">
        <v>50</v>
      </c>
      <c r="U50" s="51">
        <f>IF(OR(M50="",M50&gt;Settings!$B$2),"",Settings!$B$2-M50)</f>
        <v>14</v>
      </c>
      <c r="V50" s="51" t="str">
        <f>IF(AND(N50&lt;&gt;"",N50&lt;Settings!$B$2,J50&lt;&gt;"Closed"),"Yes","No")</f>
        <v>No</v>
      </c>
      <c r="W50" s="51" t="str">
        <f>IF(AND(OR(J50="Initial Contact",J50="In Discussion",J50="Meeting Scheduled",J50="Engaged"),ISNUMBER(U50),U50&gt;Settings!$B$3),"Yes","No")</f>
        <v>No</v>
      </c>
    </row>
    <row r="51" spans="1:23" ht="15" customHeight="1" x14ac:dyDescent="0.35">
      <c r="A51" s="49" t="s">
        <v>523</v>
      </c>
      <c r="B51" s="49" t="s">
        <v>524</v>
      </c>
      <c r="C51" s="49" t="s">
        <v>498</v>
      </c>
      <c r="D51" s="49" t="s">
        <v>525</v>
      </c>
      <c r="E51" s="49" t="s">
        <v>219</v>
      </c>
      <c r="F51" s="49" t="s">
        <v>526</v>
      </c>
      <c r="G51" s="49" t="s">
        <v>221</v>
      </c>
      <c r="H51" s="49" t="s">
        <v>527</v>
      </c>
      <c r="I51" s="49" t="s">
        <v>221</v>
      </c>
      <c r="J51" s="49" t="s">
        <v>15</v>
      </c>
      <c r="K51" s="49" t="s">
        <v>321</v>
      </c>
      <c r="L51" s="50">
        <v>45703</v>
      </c>
      <c r="M51" s="50">
        <v>46160</v>
      </c>
      <c r="N51" s="50">
        <v>46203</v>
      </c>
      <c r="O51" s="49">
        <v>12</v>
      </c>
      <c r="P51" s="49" t="s">
        <v>73</v>
      </c>
      <c r="Q51" s="49" t="s">
        <v>197</v>
      </c>
      <c r="R51" s="49" t="s">
        <v>375</v>
      </c>
      <c r="S51" s="49" t="s">
        <v>528</v>
      </c>
      <c r="T51" s="49">
        <v>51</v>
      </c>
      <c r="U51" s="51">
        <f>IF(OR(M51="",M51&gt;Settings!$B$2),"",Settings!$B$2-M51)</f>
        <v>141</v>
      </c>
      <c r="V51" s="51" t="str">
        <f>IF(AND(N51&lt;&gt;"",N51&lt;Settings!$B$2,J51&lt;&gt;"Closed"),"Yes","No")</f>
        <v>Yes</v>
      </c>
      <c r="W51" s="51" t="str">
        <f>IF(AND(OR(J51="Initial Contact",J51="In Discussion",J51="Meeting Scheduled",J51="Engaged"),ISNUMBER(U51),U51&gt;Settings!$B$3),"Yes","No")</f>
        <v>Yes</v>
      </c>
    </row>
    <row r="52" spans="1:23" ht="15" customHeight="1" x14ac:dyDescent="0.35">
      <c r="A52" s="49" t="s">
        <v>529</v>
      </c>
      <c r="B52" s="49" t="s">
        <v>530</v>
      </c>
      <c r="C52" s="49" t="s">
        <v>498</v>
      </c>
      <c r="D52" s="49" t="s">
        <v>531</v>
      </c>
      <c r="E52" s="49" t="s">
        <v>338</v>
      </c>
      <c r="F52" s="49" t="s">
        <v>532</v>
      </c>
      <c r="G52" s="49" t="s">
        <v>221</v>
      </c>
      <c r="H52" s="49" t="s">
        <v>533</v>
      </c>
      <c r="I52" s="49" t="s">
        <v>221</v>
      </c>
      <c r="J52" s="49" t="s">
        <v>223</v>
      </c>
      <c r="K52" s="49" t="s">
        <v>293</v>
      </c>
      <c r="L52" s="50"/>
      <c r="M52" s="50"/>
      <c r="N52" s="50"/>
      <c r="O52" s="49">
        <v>0</v>
      </c>
      <c r="P52" s="49" t="s">
        <v>225</v>
      </c>
      <c r="Q52" s="49" t="s">
        <v>225</v>
      </c>
      <c r="R52" s="49" t="s">
        <v>269</v>
      </c>
      <c r="S52" s="49" t="s">
        <v>387</v>
      </c>
      <c r="T52" s="49">
        <v>52</v>
      </c>
      <c r="U52" s="51" t="str">
        <f>IF(OR(M52="",M52&gt;Settings!$B$2),"",Settings!$B$2-M52)</f>
        <v/>
      </c>
      <c r="V52" s="51" t="str">
        <f>IF(AND(N52&lt;&gt;"",N52&lt;Settings!$B$2,J52&lt;&gt;"Closed"),"Yes","No")</f>
        <v>No</v>
      </c>
      <c r="W52" s="51" t="str">
        <f>IF(AND(OR(J52="Initial Contact",J52="In Discussion",J52="Meeting Scheduled",J52="Engaged"),ISNUMBER(U52),U52&gt;Settings!$B$3),"Yes","No")</f>
        <v>No</v>
      </c>
    </row>
    <row r="53" spans="1:23" ht="15" customHeight="1" x14ac:dyDescent="0.35">
      <c r="A53" s="49" t="s">
        <v>534</v>
      </c>
      <c r="B53" s="49" t="s">
        <v>535</v>
      </c>
      <c r="C53" s="49" t="s">
        <v>498</v>
      </c>
      <c r="D53" s="49" t="s">
        <v>536</v>
      </c>
      <c r="E53" s="49" t="s">
        <v>290</v>
      </c>
      <c r="F53" s="49" t="s">
        <v>537</v>
      </c>
      <c r="G53" s="49" t="s">
        <v>221</v>
      </c>
      <c r="H53" s="49"/>
      <c r="I53" s="49" t="s">
        <v>291</v>
      </c>
      <c r="J53" s="49" t="s">
        <v>15</v>
      </c>
      <c r="K53" s="49" t="s">
        <v>224</v>
      </c>
      <c r="L53" s="50">
        <v>45965</v>
      </c>
      <c r="M53" s="50">
        <v>46073</v>
      </c>
      <c r="N53" s="50">
        <v>46090</v>
      </c>
      <c r="O53" s="49">
        <v>10</v>
      </c>
      <c r="P53" s="49" t="s">
        <v>64</v>
      </c>
      <c r="Q53" s="49" t="s">
        <v>263</v>
      </c>
      <c r="R53" s="49" t="s">
        <v>405</v>
      </c>
      <c r="S53" s="49" t="s">
        <v>538</v>
      </c>
      <c r="T53" s="49">
        <v>53</v>
      </c>
      <c r="U53" s="51">
        <f>IF(OR(M53="",M53&gt;Settings!$B$2),"",Settings!$B$2-M53)</f>
        <v>228</v>
      </c>
      <c r="V53" s="51" t="str">
        <f>IF(AND(N53&lt;&gt;"",N53&lt;Settings!$B$2,J53&lt;&gt;"Closed"),"Yes","No")</f>
        <v>Yes</v>
      </c>
      <c r="W53" s="51" t="str">
        <f>IF(AND(OR(J53="Initial Contact",J53="In Discussion",J53="Meeting Scheduled",J53="Engaged"),ISNUMBER(U53),U53&gt;Settings!$B$3),"Yes","No")</f>
        <v>Yes</v>
      </c>
    </row>
    <row r="54" spans="1:23" ht="15" customHeight="1" x14ac:dyDescent="0.35">
      <c r="A54" s="49" t="s">
        <v>170</v>
      </c>
      <c r="B54" s="49" t="s">
        <v>539</v>
      </c>
      <c r="C54" s="49" t="s">
        <v>498</v>
      </c>
      <c r="D54" s="49" t="s">
        <v>540</v>
      </c>
      <c r="E54" s="49" t="s">
        <v>290</v>
      </c>
      <c r="F54" s="49" t="s">
        <v>541</v>
      </c>
      <c r="G54" s="49" t="s">
        <v>221</v>
      </c>
      <c r="H54" s="49" t="s">
        <v>542</v>
      </c>
      <c r="I54" s="49" t="s">
        <v>221</v>
      </c>
      <c r="J54" s="49" t="s">
        <v>15</v>
      </c>
      <c r="K54" s="49" t="s">
        <v>262</v>
      </c>
      <c r="L54" s="50">
        <v>46292</v>
      </c>
      <c r="M54" s="50">
        <v>45970</v>
      </c>
      <c r="N54" s="50">
        <v>46290</v>
      </c>
      <c r="O54" s="49">
        <v>6</v>
      </c>
      <c r="P54" s="49" t="s">
        <v>64</v>
      </c>
      <c r="Q54" s="49" t="s">
        <v>245</v>
      </c>
      <c r="R54" s="49" t="s">
        <v>381</v>
      </c>
      <c r="S54" s="49" t="s">
        <v>543</v>
      </c>
      <c r="T54" s="49">
        <v>54</v>
      </c>
      <c r="U54" s="51">
        <f>IF(OR(M54="",M54&gt;Settings!$B$2),"",Settings!$B$2-M54)</f>
        <v>331</v>
      </c>
      <c r="V54" s="51" t="str">
        <f>IF(AND(N54&lt;&gt;"",N54&lt;Settings!$B$2,J54&lt;&gt;"Closed"),"Yes","No")</f>
        <v>Yes</v>
      </c>
      <c r="W54" s="51" t="str">
        <f>IF(AND(OR(J54="Initial Contact",J54="In Discussion",J54="Meeting Scheduled",J54="Engaged"),ISNUMBER(U54),U54&gt;Settings!$B$3),"Yes","No")</f>
        <v>Yes</v>
      </c>
    </row>
    <row r="55" spans="1:23" ht="15" customHeight="1" x14ac:dyDescent="0.35">
      <c r="A55" s="49" t="s">
        <v>544</v>
      </c>
      <c r="B55" s="49" t="s">
        <v>545</v>
      </c>
      <c r="C55" s="49" t="s">
        <v>498</v>
      </c>
      <c r="D55" s="49" t="s">
        <v>546</v>
      </c>
      <c r="E55" s="49" t="s">
        <v>219</v>
      </c>
      <c r="F55" s="49" t="s">
        <v>547</v>
      </c>
      <c r="G55" s="49" t="s">
        <v>221</v>
      </c>
      <c r="H55" s="49" t="s">
        <v>548</v>
      </c>
      <c r="I55" s="49" t="s">
        <v>221</v>
      </c>
      <c r="J55" s="49" t="s">
        <v>261</v>
      </c>
      <c r="K55" s="49" t="s">
        <v>235</v>
      </c>
      <c r="L55" s="50">
        <v>46226</v>
      </c>
      <c r="M55" s="50">
        <v>46246</v>
      </c>
      <c r="N55" s="50"/>
      <c r="O55" s="49">
        <v>6</v>
      </c>
      <c r="P55" s="49" t="s">
        <v>64</v>
      </c>
      <c r="Q55" s="49" t="s">
        <v>245</v>
      </c>
      <c r="R55" s="49" t="s">
        <v>352</v>
      </c>
      <c r="S55" s="49" t="s">
        <v>549</v>
      </c>
      <c r="T55" s="49">
        <v>55</v>
      </c>
      <c r="U55" s="51">
        <f>IF(OR(M55="",M55&gt;Settings!$B$2),"",Settings!$B$2-M55)</f>
        <v>55</v>
      </c>
      <c r="V55" s="51" t="str">
        <f>IF(AND(N55&lt;&gt;"",N55&lt;Settings!$B$2,J55&lt;&gt;"Closed"),"Yes","No")</f>
        <v>No</v>
      </c>
      <c r="W55" s="51" t="str">
        <f>IF(AND(OR(J55="Initial Contact",J55="In Discussion",J55="Meeting Scheduled",J55="Engaged"),ISNUMBER(U55),U55&gt;Settings!$B$3),"Yes","No")</f>
        <v>No</v>
      </c>
    </row>
    <row r="56" spans="1:23" ht="15" customHeight="1" x14ac:dyDescent="0.35">
      <c r="A56" s="49" t="s">
        <v>173</v>
      </c>
      <c r="B56" s="49" t="s">
        <v>550</v>
      </c>
      <c r="C56" s="49" t="s">
        <v>498</v>
      </c>
      <c r="D56" s="49" t="s">
        <v>551</v>
      </c>
      <c r="E56" s="49" t="s">
        <v>290</v>
      </c>
      <c r="F56" s="49" t="s">
        <v>552</v>
      </c>
      <c r="G56" s="49" t="s">
        <v>221</v>
      </c>
      <c r="H56" s="49" t="s">
        <v>553</v>
      </c>
      <c r="I56" s="49" t="s">
        <v>221</v>
      </c>
      <c r="J56" s="49" t="s">
        <v>243</v>
      </c>
      <c r="K56" s="49" t="s">
        <v>276</v>
      </c>
      <c r="L56" s="50">
        <v>46288</v>
      </c>
      <c r="M56" s="50">
        <v>45890</v>
      </c>
      <c r="N56" s="50">
        <v>46338</v>
      </c>
      <c r="O56" s="49">
        <v>5</v>
      </c>
      <c r="P56" s="49" t="s">
        <v>78</v>
      </c>
      <c r="Q56" s="49" t="s">
        <v>197</v>
      </c>
      <c r="R56" s="49" t="s">
        <v>246</v>
      </c>
      <c r="S56" s="49" t="s">
        <v>554</v>
      </c>
      <c r="T56" s="49">
        <v>56</v>
      </c>
      <c r="U56" s="51">
        <f>IF(OR(M56="",M56&gt;Settings!$B$2),"",Settings!$B$2-M56)</f>
        <v>411</v>
      </c>
      <c r="V56" s="51" t="str">
        <f>IF(AND(N56&lt;&gt;"",N56&lt;Settings!$B$2,J56&lt;&gt;"Closed"),"Yes","No")</f>
        <v>No</v>
      </c>
      <c r="W56" s="51" t="str">
        <f>IF(AND(OR(J56="Initial Contact",J56="In Discussion",J56="Meeting Scheduled",J56="Engaged"),ISNUMBER(U56),U56&gt;Settings!$B$3),"Yes","No")</f>
        <v>No</v>
      </c>
    </row>
    <row r="57" spans="1:23" ht="15" customHeight="1" x14ac:dyDescent="0.35">
      <c r="A57" s="49" t="s">
        <v>555</v>
      </c>
      <c r="B57" s="49" t="s">
        <v>556</v>
      </c>
      <c r="C57" s="49" t="s">
        <v>498</v>
      </c>
      <c r="D57" s="49" t="s">
        <v>557</v>
      </c>
      <c r="E57" s="49" t="s">
        <v>219</v>
      </c>
      <c r="F57" s="49" t="s">
        <v>558</v>
      </c>
      <c r="G57" s="49" t="s">
        <v>221</v>
      </c>
      <c r="H57" s="49" t="s">
        <v>559</v>
      </c>
      <c r="I57" s="49" t="s">
        <v>221</v>
      </c>
      <c r="J57" s="49" t="s">
        <v>284</v>
      </c>
      <c r="K57" s="49" t="s">
        <v>235</v>
      </c>
      <c r="L57" s="50">
        <v>46228</v>
      </c>
      <c r="M57" s="50">
        <v>46233</v>
      </c>
      <c r="N57" s="50">
        <v>46292</v>
      </c>
      <c r="O57" s="49">
        <v>10</v>
      </c>
      <c r="P57" s="49" t="s">
        <v>64</v>
      </c>
      <c r="Q57" s="49" t="s">
        <v>245</v>
      </c>
      <c r="R57" s="49" t="s">
        <v>285</v>
      </c>
      <c r="S57" s="49" t="s">
        <v>421</v>
      </c>
      <c r="T57" s="49">
        <v>57</v>
      </c>
      <c r="U57" s="51">
        <f>IF(OR(M57="",M57&gt;Settings!$B$2),"",Settings!$B$2-M57)</f>
        <v>68</v>
      </c>
      <c r="V57" s="51" t="str">
        <f>IF(AND(N57&lt;&gt;"",N57&lt;Settings!$B$2,J57&lt;&gt;"Closed"),"Yes","No")</f>
        <v>Yes</v>
      </c>
      <c r="W57" s="51" t="str">
        <f>IF(AND(OR(J57="Initial Contact",J57="In Discussion",J57="Meeting Scheduled",J57="Engaged"),ISNUMBER(U57),U57&gt;Settings!$B$3),"Yes","No")</f>
        <v>No</v>
      </c>
    </row>
    <row r="58" spans="1:23" ht="15" customHeight="1" x14ac:dyDescent="0.35">
      <c r="A58" s="49" t="s">
        <v>560</v>
      </c>
      <c r="B58" s="49" t="s">
        <v>561</v>
      </c>
      <c r="C58" s="49" t="s">
        <v>498</v>
      </c>
      <c r="D58" s="49" t="s">
        <v>562</v>
      </c>
      <c r="E58" s="49" t="s">
        <v>231</v>
      </c>
      <c r="F58" s="49"/>
      <c r="G58" s="49" t="s">
        <v>291</v>
      </c>
      <c r="H58" s="49" t="s">
        <v>563</v>
      </c>
      <c r="I58" s="49" t="s">
        <v>221</v>
      </c>
      <c r="J58" s="49" t="s">
        <v>234</v>
      </c>
      <c r="K58" s="49" t="s">
        <v>321</v>
      </c>
      <c r="L58" s="50">
        <v>46068</v>
      </c>
      <c r="M58" s="50">
        <v>46079</v>
      </c>
      <c r="N58" s="50">
        <v>46120</v>
      </c>
      <c r="O58" s="49">
        <v>2</v>
      </c>
      <c r="P58" s="49" t="s">
        <v>78</v>
      </c>
      <c r="Q58" s="49" t="s">
        <v>277</v>
      </c>
      <c r="R58" s="49" t="s">
        <v>515</v>
      </c>
      <c r="S58" s="49" t="s">
        <v>564</v>
      </c>
      <c r="T58" s="49">
        <v>58</v>
      </c>
      <c r="U58" s="51">
        <f>IF(OR(M58="",M58&gt;Settings!$B$2),"",Settings!$B$2-M58)</f>
        <v>222</v>
      </c>
      <c r="V58" s="51" t="str">
        <f>IF(AND(N58&lt;&gt;"",N58&lt;Settings!$B$2,J58&lt;&gt;"Closed"),"Yes","No")</f>
        <v>Yes</v>
      </c>
      <c r="W58" s="51" t="str">
        <f>IF(AND(OR(J58="Initial Contact",J58="In Discussion",J58="Meeting Scheduled",J58="Engaged"),ISNUMBER(U58),U58&gt;Settings!$B$3),"Yes","No")</f>
        <v>Yes</v>
      </c>
    </row>
    <row r="59" spans="1:23" ht="15" customHeight="1" x14ac:dyDescent="0.35">
      <c r="A59" s="49" t="s">
        <v>565</v>
      </c>
      <c r="B59" s="49" t="s">
        <v>566</v>
      </c>
      <c r="C59" s="49" t="s">
        <v>498</v>
      </c>
      <c r="D59" s="49" t="s">
        <v>567</v>
      </c>
      <c r="E59" s="49" t="s">
        <v>251</v>
      </c>
      <c r="F59" s="49" t="s">
        <v>568</v>
      </c>
      <c r="G59" s="49" t="s">
        <v>221</v>
      </c>
      <c r="H59" s="49" t="s">
        <v>569</v>
      </c>
      <c r="I59" s="49" t="s">
        <v>221</v>
      </c>
      <c r="J59" s="49" t="s">
        <v>243</v>
      </c>
      <c r="K59" s="49" t="s">
        <v>321</v>
      </c>
      <c r="L59" s="50">
        <v>45748</v>
      </c>
      <c r="M59" s="50">
        <v>46261</v>
      </c>
      <c r="N59" s="50">
        <v>46338</v>
      </c>
      <c r="O59" s="49">
        <v>5</v>
      </c>
      <c r="P59" s="49" t="s">
        <v>78</v>
      </c>
      <c r="Q59" s="49" t="s">
        <v>369</v>
      </c>
      <c r="R59" s="49" t="s">
        <v>307</v>
      </c>
      <c r="S59" s="49"/>
      <c r="T59" s="49">
        <v>59</v>
      </c>
      <c r="U59" s="51">
        <f>IF(OR(M59="",M59&gt;Settings!$B$2),"",Settings!$B$2-M59)</f>
        <v>40</v>
      </c>
      <c r="V59" s="51" t="str">
        <f>IF(AND(N59&lt;&gt;"",N59&lt;Settings!$B$2,J59&lt;&gt;"Closed"),"Yes","No")</f>
        <v>No</v>
      </c>
      <c r="W59" s="51" t="str">
        <f>IF(AND(OR(J59="Initial Contact",J59="In Discussion",J59="Meeting Scheduled",J59="Engaged"),ISNUMBER(U59),U59&gt;Settings!$B$3),"Yes","No")</f>
        <v>No</v>
      </c>
    </row>
    <row r="60" spans="1:23" ht="15" customHeight="1" x14ac:dyDescent="0.35">
      <c r="A60" s="49" t="s">
        <v>570</v>
      </c>
      <c r="B60" s="49" t="s">
        <v>571</v>
      </c>
      <c r="C60" s="49" t="s">
        <v>498</v>
      </c>
      <c r="D60" s="49" t="s">
        <v>572</v>
      </c>
      <c r="E60" s="49" t="s">
        <v>219</v>
      </c>
      <c r="F60" s="49" t="s">
        <v>573</v>
      </c>
      <c r="G60" s="49" t="s">
        <v>221</v>
      </c>
      <c r="H60" s="49"/>
      <c r="I60" s="49" t="s">
        <v>291</v>
      </c>
      <c r="J60" s="49" t="s">
        <v>223</v>
      </c>
      <c r="K60" s="49" t="s">
        <v>293</v>
      </c>
      <c r="L60" s="50"/>
      <c r="M60" s="50"/>
      <c r="N60" s="50"/>
      <c r="O60" s="49">
        <v>0</v>
      </c>
      <c r="P60" s="49" t="s">
        <v>225</v>
      </c>
      <c r="Q60" s="49" t="s">
        <v>225</v>
      </c>
      <c r="R60" s="49"/>
      <c r="S60" s="49" t="s">
        <v>574</v>
      </c>
      <c r="T60" s="49">
        <v>60</v>
      </c>
      <c r="U60" s="51" t="str">
        <f>IF(OR(M60="",M60&gt;Settings!$B$2),"",Settings!$B$2-M60)</f>
        <v/>
      </c>
      <c r="V60" s="51" t="str">
        <f>IF(AND(N60&lt;&gt;"",N60&lt;Settings!$B$2,J60&lt;&gt;"Closed"),"Yes","No")</f>
        <v>No</v>
      </c>
      <c r="W60" s="51" t="str">
        <f>IF(AND(OR(J60="Initial Contact",J60="In Discussion",J60="Meeting Scheduled",J60="Engaged"),ISNUMBER(U60),U60&gt;Settings!$B$3),"Yes","No")</f>
        <v>No</v>
      </c>
    </row>
    <row r="61" spans="1:23" ht="15" customHeight="1" x14ac:dyDescent="0.35">
      <c r="A61" s="49" t="s">
        <v>180</v>
      </c>
      <c r="B61" s="49" t="s">
        <v>575</v>
      </c>
      <c r="C61" s="49" t="s">
        <v>498</v>
      </c>
      <c r="D61" s="49" t="s">
        <v>576</v>
      </c>
      <c r="E61" s="49" t="s">
        <v>251</v>
      </c>
      <c r="F61" s="49"/>
      <c r="G61" s="49" t="s">
        <v>291</v>
      </c>
      <c r="H61" s="49" t="s">
        <v>577</v>
      </c>
      <c r="I61" s="49" t="s">
        <v>221</v>
      </c>
      <c r="J61" s="49" t="s">
        <v>15</v>
      </c>
      <c r="K61" s="49" t="s">
        <v>224</v>
      </c>
      <c r="L61" s="50">
        <v>46131</v>
      </c>
      <c r="M61" s="50">
        <v>46225</v>
      </c>
      <c r="N61" s="50">
        <v>46245</v>
      </c>
      <c r="O61" s="49">
        <v>19</v>
      </c>
      <c r="P61" s="49" t="s">
        <v>244</v>
      </c>
      <c r="Q61" s="49" t="s">
        <v>197</v>
      </c>
      <c r="R61" s="49" t="s">
        <v>510</v>
      </c>
      <c r="S61" s="49" t="s">
        <v>578</v>
      </c>
      <c r="T61" s="49">
        <v>61</v>
      </c>
      <c r="U61" s="51">
        <f>IF(OR(M61="",M61&gt;Settings!$B$2),"",Settings!$B$2-M61)</f>
        <v>76</v>
      </c>
      <c r="V61" s="51" t="str">
        <f>IF(AND(N61&lt;&gt;"",N61&lt;Settings!$B$2,J61&lt;&gt;"Closed"),"Yes","No")</f>
        <v>Yes</v>
      </c>
      <c r="W61" s="51" t="str">
        <f>IF(AND(OR(J61="Initial Contact",J61="In Discussion",J61="Meeting Scheduled",J61="Engaged"),ISNUMBER(U61),U61&gt;Settings!$B$3),"Yes","No")</f>
        <v>No</v>
      </c>
    </row>
    <row r="62" spans="1:23" ht="15" customHeight="1" x14ac:dyDescent="0.35">
      <c r="A62" s="49" t="s">
        <v>164</v>
      </c>
      <c r="B62" s="49" t="s">
        <v>579</v>
      </c>
      <c r="C62" s="49" t="s">
        <v>498</v>
      </c>
      <c r="D62" s="49" t="s">
        <v>580</v>
      </c>
      <c r="E62" s="49" t="s">
        <v>312</v>
      </c>
      <c r="F62" s="49" t="s">
        <v>581</v>
      </c>
      <c r="G62" s="49" t="s">
        <v>221</v>
      </c>
      <c r="H62" s="49" t="s">
        <v>582</v>
      </c>
      <c r="I62" s="49" t="s">
        <v>221</v>
      </c>
      <c r="J62" s="49" t="s">
        <v>261</v>
      </c>
      <c r="K62" s="49" t="s">
        <v>254</v>
      </c>
      <c r="L62" s="50">
        <v>45772</v>
      </c>
      <c r="M62" s="50">
        <v>46388</v>
      </c>
      <c r="N62" s="50">
        <v>46313</v>
      </c>
      <c r="O62" s="49">
        <v>3</v>
      </c>
      <c r="P62" s="49" t="s">
        <v>73</v>
      </c>
      <c r="Q62" s="49" t="s">
        <v>369</v>
      </c>
      <c r="R62" s="49" t="s">
        <v>264</v>
      </c>
      <c r="S62" s="49" t="s">
        <v>466</v>
      </c>
      <c r="T62" s="49">
        <v>62</v>
      </c>
      <c r="U62" s="51" t="str">
        <f>IF(OR(M62="",M62&gt;Settings!$B$2),"",Settings!$B$2-M62)</f>
        <v/>
      </c>
      <c r="V62" s="51" t="str">
        <f>IF(AND(N62&lt;&gt;"",N62&lt;Settings!$B$2,J62&lt;&gt;"Closed"),"Yes","No")</f>
        <v>No</v>
      </c>
      <c r="W62" s="51" t="str">
        <f>IF(AND(OR(J62="Initial Contact",J62="In Discussion",J62="Meeting Scheduled",J62="Engaged"),ISNUMBER(U62),U62&gt;Settings!$B$3),"Yes","No")</f>
        <v>No</v>
      </c>
    </row>
    <row r="63" spans="1:23" ht="15" customHeight="1" x14ac:dyDescent="0.35">
      <c r="A63" s="49" t="s">
        <v>158</v>
      </c>
      <c r="B63" s="49" t="s">
        <v>583</v>
      </c>
      <c r="C63" s="49" t="s">
        <v>498</v>
      </c>
      <c r="D63" s="49" t="s">
        <v>584</v>
      </c>
      <c r="E63" s="49" t="s">
        <v>312</v>
      </c>
      <c r="F63" s="49" t="s">
        <v>585</v>
      </c>
      <c r="G63" s="49" t="s">
        <v>221</v>
      </c>
      <c r="H63" s="49" t="s">
        <v>586</v>
      </c>
      <c r="I63" s="49" t="s">
        <v>221</v>
      </c>
      <c r="J63" s="49" t="s">
        <v>15</v>
      </c>
      <c r="K63" s="49" t="s">
        <v>321</v>
      </c>
      <c r="L63" s="50">
        <v>45873</v>
      </c>
      <c r="M63" s="50">
        <v>46273</v>
      </c>
      <c r="N63" s="50">
        <v>46295</v>
      </c>
      <c r="O63" s="49">
        <v>0</v>
      </c>
      <c r="P63" s="49" t="s">
        <v>64</v>
      </c>
      <c r="Q63" s="49" t="s">
        <v>277</v>
      </c>
      <c r="R63" s="49" t="s">
        <v>405</v>
      </c>
      <c r="S63" s="49" t="s">
        <v>353</v>
      </c>
      <c r="T63" s="49">
        <v>63</v>
      </c>
      <c r="U63" s="51">
        <f>IF(OR(M63="",M63&gt;Settings!$B$2),"",Settings!$B$2-M63)</f>
        <v>28</v>
      </c>
      <c r="V63" s="51" t="str">
        <f>IF(AND(N63&lt;&gt;"",N63&lt;Settings!$B$2,J63&lt;&gt;"Closed"),"Yes","No")</f>
        <v>Yes</v>
      </c>
      <c r="W63" s="51" t="str">
        <f>IF(AND(OR(J63="Initial Contact",J63="In Discussion",J63="Meeting Scheduled",J63="Engaged"),ISNUMBER(U63),U63&gt;Settings!$B$3),"Yes","No")</f>
        <v>No</v>
      </c>
    </row>
    <row r="64" spans="1:23" ht="15" customHeight="1" x14ac:dyDescent="0.35">
      <c r="A64" s="49" t="s">
        <v>183</v>
      </c>
      <c r="B64" s="49" t="s">
        <v>587</v>
      </c>
      <c r="C64" s="49" t="s">
        <v>588</v>
      </c>
      <c r="D64" s="49" t="s">
        <v>589</v>
      </c>
      <c r="E64" s="49" t="s">
        <v>324</v>
      </c>
      <c r="F64" s="49" t="s">
        <v>590</v>
      </c>
      <c r="G64" s="49" t="s">
        <v>292</v>
      </c>
      <c r="H64" s="49"/>
      <c r="I64" s="49" t="s">
        <v>291</v>
      </c>
      <c r="J64" s="49" t="s">
        <v>284</v>
      </c>
      <c r="K64" s="49" t="s">
        <v>293</v>
      </c>
      <c r="L64" s="50">
        <v>46009</v>
      </c>
      <c r="M64" s="50">
        <v>46284</v>
      </c>
      <c r="N64" s="50">
        <v>46324</v>
      </c>
      <c r="O64" s="49">
        <v>8</v>
      </c>
      <c r="P64" s="49" t="s">
        <v>73</v>
      </c>
      <c r="Q64" s="49" t="s">
        <v>263</v>
      </c>
      <c r="R64" s="49" t="s">
        <v>285</v>
      </c>
      <c r="S64" s="49" t="s">
        <v>591</v>
      </c>
      <c r="T64" s="49">
        <v>64</v>
      </c>
      <c r="U64" s="51">
        <f>IF(OR(M64="",M64&gt;Settings!$B$2),"",Settings!$B$2-M64)</f>
        <v>17</v>
      </c>
      <c r="V64" s="51" t="str">
        <f>IF(AND(N64&lt;&gt;"",N64&lt;Settings!$B$2,J64&lt;&gt;"Closed"),"Yes","No")</f>
        <v>No</v>
      </c>
      <c r="W64" s="51" t="str">
        <f>IF(AND(OR(J64="Initial Contact",J64="In Discussion",J64="Meeting Scheduled",J64="Engaged"),ISNUMBER(U64),U64&gt;Settings!$B$3),"Yes","No")</f>
        <v>No</v>
      </c>
    </row>
    <row r="65" spans="1:23" ht="15" customHeight="1" x14ac:dyDescent="0.35">
      <c r="A65" s="49" t="s">
        <v>592</v>
      </c>
      <c r="B65" s="49" t="s">
        <v>593</v>
      </c>
      <c r="C65" s="49" t="s">
        <v>588</v>
      </c>
      <c r="D65" s="49" t="s">
        <v>304</v>
      </c>
      <c r="E65" s="49" t="s">
        <v>290</v>
      </c>
      <c r="F65" s="49" t="s">
        <v>594</v>
      </c>
      <c r="G65" s="49" t="s">
        <v>292</v>
      </c>
      <c r="H65" s="49" t="s">
        <v>595</v>
      </c>
      <c r="I65" s="49" t="s">
        <v>221</v>
      </c>
      <c r="J65" s="49" t="s">
        <v>15</v>
      </c>
      <c r="K65" s="49" t="s">
        <v>224</v>
      </c>
      <c r="L65" s="50">
        <v>45687</v>
      </c>
      <c r="M65" s="50">
        <v>46212</v>
      </c>
      <c r="N65" s="50">
        <v>46271</v>
      </c>
      <c r="O65" s="49">
        <v>10</v>
      </c>
      <c r="P65" s="49" t="s">
        <v>64</v>
      </c>
      <c r="Q65" s="49" t="s">
        <v>263</v>
      </c>
      <c r="R65" s="49" t="s">
        <v>405</v>
      </c>
      <c r="S65" s="49" t="s">
        <v>596</v>
      </c>
      <c r="T65" s="49">
        <v>65</v>
      </c>
      <c r="U65" s="51">
        <f>IF(OR(M65="",M65&gt;Settings!$B$2),"",Settings!$B$2-M65)</f>
        <v>89</v>
      </c>
      <c r="V65" s="51" t="str">
        <f>IF(AND(N65&lt;&gt;"",N65&lt;Settings!$B$2,J65&lt;&gt;"Closed"),"Yes","No")</f>
        <v>Yes</v>
      </c>
      <c r="W65" s="51" t="str">
        <f>IF(AND(OR(J65="Initial Contact",J65="In Discussion",J65="Meeting Scheduled",J65="Engaged"),ISNUMBER(U65),U65&gt;Settings!$B$3),"Yes","No")</f>
        <v>No</v>
      </c>
    </row>
    <row r="66" spans="1:23" ht="15" customHeight="1" x14ac:dyDescent="0.35">
      <c r="A66" s="49" t="s">
        <v>175</v>
      </c>
      <c r="B66" s="49" t="s">
        <v>597</v>
      </c>
      <c r="C66" s="49" t="s">
        <v>588</v>
      </c>
      <c r="D66" s="49" t="s">
        <v>598</v>
      </c>
      <c r="E66" s="49" t="s">
        <v>324</v>
      </c>
      <c r="F66" s="49" t="s">
        <v>599</v>
      </c>
      <c r="G66" s="49" t="s">
        <v>221</v>
      </c>
      <c r="H66" s="49"/>
      <c r="I66" s="49" t="s">
        <v>292</v>
      </c>
      <c r="J66" s="49" t="s">
        <v>15</v>
      </c>
      <c r="K66" s="49" t="s">
        <v>262</v>
      </c>
      <c r="L66" s="50">
        <v>45797</v>
      </c>
      <c r="M66" s="50">
        <v>46285</v>
      </c>
      <c r="N66" s="50">
        <v>46333</v>
      </c>
      <c r="O66" s="49">
        <v>9</v>
      </c>
      <c r="P66" s="49" t="s">
        <v>244</v>
      </c>
      <c r="Q66" s="49" t="s">
        <v>369</v>
      </c>
      <c r="R66" s="49" t="s">
        <v>255</v>
      </c>
      <c r="S66" s="49" t="s">
        <v>600</v>
      </c>
      <c r="T66" s="49">
        <v>66</v>
      </c>
      <c r="U66" s="51">
        <f>IF(OR(M66="",M66&gt;Settings!$B$2),"",Settings!$B$2-M66)</f>
        <v>16</v>
      </c>
      <c r="V66" s="51" t="str">
        <f>IF(AND(N66&lt;&gt;"",N66&lt;Settings!$B$2,J66&lt;&gt;"Closed"),"Yes","No")</f>
        <v>No</v>
      </c>
      <c r="W66" s="51" t="str">
        <f>IF(AND(OR(J66="Initial Contact",J66="In Discussion",J66="Meeting Scheduled",J66="Engaged"),ISNUMBER(U66),U66&gt;Settings!$B$3),"Yes","No")</f>
        <v>No</v>
      </c>
    </row>
    <row r="67" spans="1:23" ht="15" customHeight="1" x14ac:dyDescent="0.35">
      <c r="A67" s="49" t="s">
        <v>601</v>
      </c>
      <c r="B67" s="49" t="s">
        <v>602</v>
      </c>
      <c r="C67" s="49" t="s">
        <v>588</v>
      </c>
      <c r="D67" s="49" t="s">
        <v>603</v>
      </c>
      <c r="E67" s="49" t="s">
        <v>290</v>
      </c>
      <c r="F67" s="49" t="s">
        <v>604</v>
      </c>
      <c r="G67" s="49" t="s">
        <v>292</v>
      </c>
      <c r="H67" s="49" t="s">
        <v>605</v>
      </c>
      <c r="I67" s="49" t="s">
        <v>221</v>
      </c>
      <c r="J67" s="49" t="s">
        <v>234</v>
      </c>
      <c r="K67" s="49" t="s">
        <v>224</v>
      </c>
      <c r="L67" s="50">
        <v>45783</v>
      </c>
      <c r="M67" s="50"/>
      <c r="N67" s="50">
        <v>46340</v>
      </c>
      <c r="O67" s="49">
        <v>2</v>
      </c>
      <c r="P67" s="49" t="s">
        <v>78</v>
      </c>
      <c r="Q67" s="49" t="s">
        <v>369</v>
      </c>
      <c r="R67" s="49" t="s">
        <v>340</v>
      </c>
      <c r="S67" s="49" t="s">
        <v>522</v>
      </c>
      <c r="T67" s="49">
        <v>67</v>
      </c>
      <c r="U67" s="51" t="str">
        <f>IF(OR(M67="",M67&gt;Settings!$B$2),"",Settings!$B$2-M67)</f>
        <v/>
      </c>
      <c r="V67" s="51" t="str">
        <f>IF(AND(N67&lt;&gt;"",N67&lt;Settings!$B$2,J67&lt;&gt;"Closed"),"Yes","No")</f>
        <v>No</v>
      </c>
      <c r="W67" s="51" t="str">
        <f>IF(AND(OR(J67="Initial Contact",J67="In Discussion",J67="Meeting Scheduled",J67="Engaged"),ISNUMBER(U67),U67&gt;Settings!$B$3),"Yes","No")</f>
        <v>No</v>
      </c>
    </row>
    <row r="68" spans="1:23" ht="15" customHeight="1" x14ac:dyDescent="0.35">
      <c r="A68" s="49" t="s">
        <v>606</v>
      </c>
      <c r="B68" s="49" t="s">
        <v>607</v>
      </c>
      <c r="C68" s="49" t="s">
        <v>588</v>
      </c>
      <c r="D68" s="49" t="s">
        <v>608</v>
      </c>
      <c r="E68" s="49" t="s">
        <v>338</v>
      </c>
      <c r="F68" s="49" t="s">
        <v>609</v>
      </c>
      <c r="G68" s="49" t="s">
        <v>292</v>
      </c>
      <c r="H68" s="49" t="s">
        <v>610</v>
      </c>
      <c r="I68" s="49" t="s">
        <v>221</v>
      </c>
      <c r="J68" s="49" t="s">
        <v>284</v>
      </c>
      <c r="K68" s="49" t="s">
        <v>293</v>
      </c>
      <c r="L68" s="50">
        <v>45794</v>
      </c>
      <c r="M68" s="50">
        <v>46277</v>
      </c>
      <c r="N68" s="50">
        <v>46294</v>
      </c>
      <c r="O68" s="49">
        <v>9</v>
      </c>
      <c r="P68" s="49" t="s">
        <v>73</v>
      </c>
      <c r="Q68" s="49" t="s">
        <v>197</v>
      </c>
      <c r="R68" s="49" t="s">
        <v>315</v>
      </c>
      <c r="S68" s="49" t="s">
        <v>611</v>
      </c>
      <c r="T68" s="49">
        <v>68</v>
      </c>
      <c r="U68" s="51">
        <f>IF(OR(M68="",M68&gt;Settings!$B$2),"",Settings!$B$2-M68)</f>
        <v>24</v>
      </c>
      <c r="V68" s="51" t="str">
        <f>IF(AND(N68&lt;&gt;"",N68&lt;Settings!$B$2,J68&lt;&gt;"Closed"),"Yes","No")</f>
        <v>Yes</v>
      </c>
      <c r="W68" s="51" t="str">
        <f>IF(AND(OR(J68="Initial Contact",J68="In Discussion",J68="Meeting Scheduled",J68="Engaged"),ISNUMBER(U68),U68&gt;Settings!$B$3),"Yes","No")</f>
        <v>No</v>
      </c>
    </row>
    <row r="69" spans="1:23" ht="15" customHeight="1" x14ac:dyDescent="0.35">
      <c r="A69" s="49" t="s">
        <v>612</v>
      </c>
      <c r="B69" s="49" t="s">
        <v>613</v>
      </c>
      <c r="C69" s="49" t="s">
        <v>588</v>
      </c>
      <c r="D69" s="49" t="s">
        <v>614</v>
      </c>
      <c r="E69" s="49" t="s">
        <v>219</v>
      </c>
      <c r="F69" s="49" t="s">
        <v>615</v>
      </c>
      <c r="G69" s="49" t="s">
        <v>221</v>
      </c>
      <c r="H69" s="49" t="s">
        <v>616</v>
      </c>
      <c r="I69" s="49" t="s">
        <v>221</v>
      </c>
      <c r="J69" s="49" t="s">
        <v>234</v>
      </c>
      <c r="K69" s="49" t="s">
        <v>262</v>
      </c>
      <c r="L69" s="50">
        <v>45931</v>
      </c>
      <c r="M69" s="50">
        <v>46287</v>
      </c>
      <c r="N69" s="50">
        <v>46305</v>
      </c>
      <c r="O69" s="49"/>
      <c r="P69" s="49" t="s">
        <v>78</v>
      </c>
      <c r="Q69" s="49" t="s">
        <v>197</v>
      </c>
      <c r="R69" s="49" t="s">
        <v>236</v>
      </c>
      <c r="S69" s="49" t="s">
        <v>278</v>
      </c>
      <c r="T69" s="49">
        <v>69</v>
      </c>
      <c r="U69" s="51">
        <f>IF(OR(M69="",M69&gt;Settings!$B$2),"",Settings!$B$2-M69)</f>
        <v>14</v>
      </c>
      <c r="V69" s="51" t="str">
        <f>IF(AND(N69&lt;&gt;"",N69&lt;Settings!$B$2,J69&lt;&gt;"Closed"),"Yes","No")</f>
        <v>No</v>
      </c>
      <c r="W69" s="51" t="str">
        <f>IF(AND(OR(J69="Initial Contact",J69="In Discussion",J69="Meeting Scheduled",J69="Engaged"),ISNUMBER(U69),U69&gt;Settings!$B$3),"Yes","No")</f>
        <v>No</v>
      </c>
    </row>
    <row r="70" spans="1:23" ht="15" customHeight="1" x14ac:dyDescent="0.35">
      <c r="A70" s="49" t="s">
        <v>617</v>
      </c>
      <c r="B70" s="49" t="s">
        <v>618</v>
      </c>
      <c r="C70" s="49" t="s">
        <v>588</v>
      </c>
      <c r="D70" s="49" t="s">
        <v>619</v>
      </c>
      <c r="E70" s="49" t="s">
        <v>251</v>
      </c>
      <c r="F70" s="49"/>
      <c r="G70" s="49" t="s">
        <v>291</v>
      </c>
      <c r="H70" s="49" t="s">
        <v>620</v>
      </c>
      <c r="I70" s="49" t="s">
        <v>221</v>
      </c>
      <c r="J70" s="49" t="s">
        <v>397</v>
      </c>
      <c r="K70" s="49" t="s">
        <v>262</v>
      </c>
      <c r="L70" s="50">
        <v>45808</v>
      </c>
      <c r="M70" s="50">
        <v>46079</v>
      </c>
      <c r="N70" s="50"/>
      <c r="O70" s="49">
        <v>3</v>
      </c>
      <c r="P70" s="49" t="s">
        <v>78</v>
      </c>
      <c r="Q70" s="49" t="s">
        <v>197</v>
      </c>
      <c r="R70" s="49" t="s">
        <v>495</v>
      </c>
      <c r="S70" s="49" t="s">
        <v>621</v>
      </c>
      <c r="T70" s="49">
        <v>70</v>
      </c>
      <c r="U70" s="51">
        <f>IF(OR(M70="",M70&gt;Settings!$B$2),"",Settings!$B$2-M70)</f>
        <v>222</v>
      </c>
      <c r="V70" s="51" t="str">
        <f>IF(AND(N70&lt;&gt;"",N70&lt;Settings!$B$2,J70&lt;&gt;"Closed"),"Yes","No")</f>
        <v>No</v>
      </c>
      <c r="W70" s="51" t="str">
        <f>IF(AND(OR(J70="Initial Contact",J70="In Discussion",J70="Meeting Scheduled",J70="Engaged"),ISNUMBER(U70),U70&gt;Settings!$B$3),"Yes","No")</f>
        <v>No</v>
      </c>
    </row>
    <row r="71" spans="1:23" ht="15" customHeight="1" x14ac:dyDescent="0.35">
      <c r="A71" s="49" t="s">
        <v>622</v>
      </c>
      <c r="B71" s="49" t="s">
        <v>623</v>
      </c>
      <c r="C71" s="49" t="s">
        <v>588</v>
      </c>
      <c r="D71" s="49" t="s">
        <v>624</v>
      </c>
      <c r="E71" s="49" t="s">
        <v>231</v>
      </c>
      <c r="F71" s="49" t="s">
        <v>625</v>
      </c>
      <c r="G71" s="49" t="s">
        <v>221</v>
      </c>
      <c r="H71" s="49" t="s">
        <v>626</v>
      </c>
      <c r="I71" s="49" t="s">
        <v>221</v>
      </c>
      <c r="J71" s="49" t="s">
        <v>234</v>
      </c>
      <c r="K71" s="49" t="s">
        <v>235</v>
      </c>
      <c r="L71" s="50">
        <v>45965</v>
      </c>
      <c r="M71" s="50">
        <v>46076</v>
      </c>
      <c r="N71" s="50">
        <v>46134</v>
      </c>
      <c r="O71" s="49"/>
      <c r="P71" s="49" t="s">
        <v>78</v>
      </c>
      <c r="Q71" s="49" t="s">
        <v>369</v>
      </c>
      <c r="R71" s="49" t="s">
        <v>300</v>
      </c>
      <c r="S71" s="49" t="s">
        <v>627</v>
      </c>
      <c r="T71" s="49">
        <v>71</v>
      </c>
      <c r="U71" s="51">
        <f>IF(OR(M71="",M71&gt;Settings!$B$2),"",Settings!$B$2-M71)</f>
        <v>225</v>
      </c>
      <c r="V71" s="51" t="str">
        <f>IF(AND(N71&lt;&gt;"",N71&lt;Settings!$B$2,J71&lt;&gt;"Closed"),"Yes","No")</f>
        <v>Yes</v>
      </c>
      <c r="W71" s="51" t="str">
        <f>IF(AND(OR(J71="Initial Contact",J71="In Discussion",J71="Meeting Scheduled",J71="Engaged"),ISNUMBER(U71),U71&gt;Settings!$B$3),"Yes","No")</f>
        <v>Yes</v>
      </c>
    </row>
    <row r="72" spans="1:23" ht="15" customHeight="1" x14ac:dyDescent="0.35">
      <c r="A72" s="49" t="s">
        <v>628</v>
      </c>
      <c r="B72" s="49" t="s">
        <v>629</v>
      </c>
      <c r="C72" s="49" t="s">
        <v>588</v>
      </c>
      <c r="D72" s="49" t="s">
        <v>603</v>
      </c>
      <c r="E72" s="49" t="s">
        <v>338</v>
      </c>
      <c r="F72" s="49" t="s">
        <v>630</v>
      </c>
      <c r="G72" s="49" t="s">
        <v>221</v>
      </c>
      <c r="H72" s="49" t="s">
        <v>631</v>
      </c>
      <c r="I72" s="49" t="s">
        <v>221</v>
      </c>
      <c r="J72" s="49" t="s">
        <v>284</v>
      </c>
      <c r="K72" s="49" t="s">
        <v>224</v>
      </c>
      <c r="L72" s="50">
        <v>46072</v>
      </c>
      <c r="M72" s="50">
        <v>46227</v>
      </c>
      <c r="N72" s="50">
        <v>46264</v>
      </c>
      <c r="O72" s="49">
        <v>6</v>
      </c>
      <c r="P72" s="49" t="s">
        <v>73</v>
      </c>
      <c r="Q72" s="49" t="s">
        <v>197</v>
      </c>
      <c r="R72" s="49" t="s">
        <v>285</v>
      </c>
      <c r="S72" s="49" t="s">
        <v>632</v>
      </c>
      <c r="T72" s="49">
        <v>72</v>
      </c>
      <c r="U72" s="51">
        <f>IF(OR(M72="",M72&gt;Settings!$B$2),"",Settings!$B$2-M72)</f>
        <v>74</v>
      </c>
      <c r="V72" s="51" t="str">
        <f>IF(AND(N72&lt;&gt;"",N72&lt;Settings!$B$2,J72&lt;&gt;"Closed"),"Yes","No")</f>
        <v>Yes</v>
      </c>
      <c r="W72" s="51" t="str">
        <f>IF(AND(OR(J72="Initial Contact",J72="In Discussion",J72="Meeting Scheduled",J72="Engaged"),ISNUMBER(U72),U72&gt;Settings!$B$3),"Yes","No")</f>
        <v>No</v>
      </c>
    </row>
    <row r="73" spans="1:23" ht="15" customHeight="1" x14ac:dyDescent="0.35">
      <c r="A73" s="49" t="s">
        <v>633</v>
      </c>
      <c r="B73" s="49" t="s">
        <v>634</v>
      </c>
      <c r="C73" s="49" t="s">
        <v>588</v>
      </c>
      <c r="D73" s="49" t="s">
        <v>635</v>
      </c>
      <c r="E73" s="49" t="s">
        <v>312</v>
      </c>
      <c r="F73" s="49" t="s">
        <v>636</v>
      </c>
      <c r="G73" s="49" t="s">
        <v>221</v>
      </c>
      <c r="H73" s="49" t="s">
        <v>637</v>
      </c>
      <c r="I73" s="49" t="s">
        <v>221</v>
      </c>
      <c r="J73" s="49" t="s">
        <v>234</v>
      </c>
      <c r="K73" s="49" t="s">
        <v>224</v>
      </c>
      <c r="L73" s="50">
        <v>45960</v>
      </c>
      <c r="M73" s="50">
        <v>46287</v>
      </c>
      <c r="N73" s="50">
        <v>46339</v>
      </c>
      <c r="O73" s="49">
        <v>2</v>
      </c>
      <c r="P73" s="49" t="s">
        <v>78</v>
      </c>
      <c r="Q73" s="49" t="s">
        <v>277</v>
      </c>
      <c r="R73" s="49" t="s">
        <v>340</v>
      </c>
      <c r="S73" s="49"/>
      <c r="T73" s="49">
        <v>73</v>
      </c>
      <c r="U73" s="51">
        <f>IF(OR(M73="",M73&gt;Settings!$B$2),"",Settings!$B$2-M73)</f>
        <v>14</v>
      </c>
      <c r="V73" s="51" t="str">
        <f>IF(AND(N73&lt;&gt;"",N73&lt;Settings!$B$2,J73&lt;&gt;"Closed"),"Yes","No")</f>
        <v>No</v>
      </c>
      <c r="W73" s="51" t="str">
        <f>IF(AND(OR(J73="Initial Contact",J73="In Discussion",J73="Meeting Scheduled",J73="Engaged"),ISNUMBER(U73),U73&gt;Settings!$B$3),"Yes","No")</f>
        <v>No</v>
      </c>
    </row>
    <row r="74" spans="1:23" ht="15" customHeight="1" x14ac:dyDescent="0.35">
      <c r="A74" s="49" t="s">
        <v>638</v>
      </c>
      <c r="B74" s="49" t="s">
        <v>639</v>
      </c>
      <c r="C74" s="49" t="s">
        <v>588</v>
      </c>
      <c r="D74" s="49" t="s">
        <v>640</v>
      </c>
      <c r="E74" s="49" t="s">
        <v>251</v>
      </c>
      <c r="F74" s="49" t="s">
        <v>641</v>
      </c>
      <c r="G74" s="49" t="s">
        <v>221</v>
      </c>
      <c r="H74" s="49" t="s">
        <v>642</v>
      </c>
      <c r="I74" s="49" t="s">
        <v>221</v>
      </c>
      <c r="J74" s="49" t="s">
        <v>261</v>
      </c>
      <c r="K74" s="49" t="s">
        <v>262</v>
      </c>
      <c r="L74" s="50">
        <v>46208</v>
      </c>
      <c r="M74" s="50">
        <v>46278</v>
      </c>
      <c r="N74" s="50">
        <v>46307</v>
      </c>
      <c r="O74" s="49">
        <v>4</v>
      </c>
      <c r="P74" s="49" t="s">
        <v>73</v>
      </c>
      <c r="Q74" s="49" t="s">
        <v>369</v>
      </c>
      <c r="R74" s="49" t="s">
        <v>264</v>
      </c>
      <c r="S74" s="49"/>
      <c r="T74" s="49">
        <v>74</v>
      </c>
      <c r="U74" s="51">
        <f>IF(OR(M74="",M74&gt;Settings!$B$2),"",Settings!$B$2-M74)</f>
        <v>23</v>
      </c>
      <c r="V74" s="51" t="str">
        <f>IF(AND(N74&lt;&gt;"",N74&lt;Settings!$B$2,J74&lt;&gt;"Closed"),"Yes","No")</f>
        <v>No</v>
      </c>
      <c r="W74" s="51" t="str">
        <f>IF(AND(OR(J74="Initial Contact",J74="In Discussion",J74="Meeting Scheduled",J74="Engaged"),ISNUMBER(U74),U74&gt;Settings!$B$3),"Yes","No")</f>
        <v>No</v>
      </c>
    </row>
    <row r="75" spans="1:23" ht="15" customHeight="1" x14ac:dyDescent="0.35">
      <c r="A75" s="49" t="s">
        <v>150</v>
      </c>
      <c r="B75" s="49" t="s">
        <v>643</v>
      </c>
      <c r="C75" s="49" t="s">
        <v>588</v>
      </c>
      <c r="D75" s="49" t="s">
        <v>281</v>
      </c>
      <c r="E75" s="49" t="s">
        <v>338</v>
      </c>
      <c r="F75" s="49" t="s">
        <v>644</v>
      </c>
      <c r="G75" s="49" t="s">
        <v>221</v>
      </c>
      <c r="H75" s="49"/>
      <c r="I75" s="49" t="s">
        <v>291</v>
      </c>
      <c r="J75" s="49" t="s">
        <v>223</v>
      </c>
      <c r="K75" s="49" t="s">
        <v>262</v>
      </c>
      <c r="L75" s="50"/>
      <c r="M75" s="50">
        <v>46210</v>
      </c>
      <c r="N75" s="50"/>
      <c r="O75" s="49">
        <v>3</v>
      </c>
      <c r="P75" s="49" t="s">
        <v>225</v>
      </c>
      <c r="Q75" s="49" t="s">
        <v>225</v>
      </c>
      <c r="R75" s="49" t="s">
        <v>226</v>
      </c>
      <c r="S75" s="49" t="s">
        <v>645</v>
      </c>
      <c r="T75" s="49">
        <v>75</v>
      </c>
      <c r="U75" s="51">
        <f>IF(OR(M75="",M75&gt;Settings!$B$2),"",Settings!$B$2-M75)</f>
        <v>91</v>
      </c>
      <c r="V75" s="51" t="str">
        <f>IF(AND(N75&lt;&gt;"",N75&lt;Settings!$B$2,J75&lt;&gt;"Closed"),"Yes","No")</f>
        <v>No</v>
      </c>
      <c r="W75" s="51" t="str">
        <f>IF(AND(OR(J75="Initial Contact",J75="In Discussion",J75="Meeting Scheduled",J75="Engaged"),ISNUMBER(U75),U75&gt;Settings!$B$3),"Yes","No")</f>
        <v>No</v>
      </c>
    </row>
    <row r="76" spans="1:23" ht="15" customHeight="1" x14ac:dyDescent="0.35">
      <c r="A76" s="49" t="s">
        <v>646</v>
      </c>
      <c r="B76" s="49" t="s">
        <v>647</v>
      </c>
      <c r="C76" s="49" t="s">
        <v>588</v>
      </c>
      <c r="D76" s="49" t="s">
        <v>648</v>
      </c>
      <c r="E76" s="49" t="s">
        <v>251</v>
      </c>
      <c r="F76" s="49" t="s">
        <v>649</v>
      </c>
      <c r="G76" s="49" t="s">
        <v>221</v>
      </c>
      <c r="H76" s="49" t="s">
        <v>650</v>
      </c>
      <c r="I76" s="49" t="s">
        <v>221</v>
      </c>
      <c r="J76" s="49" t="s">
        <v>223</v>
      </c>
      <c r="K76" s="49" t="s">
        <v>276</v>
      </c>
      <c r="L76" s="50"/>
      <c r="M76" s="50"/>
      <c r="N76" s="50"/>
      <c r="O76" s="49">
        <v>0</v>
      </c>
      <c r="P76" s="49" t="s">
        <v>225</v>
      </c>
      <c r="Q76" s="49" t="s">
        <v>225</v>
      </c>
      <c r="R76" s="49"/>
      <c r="S76" s="49"/>
      <c r="T76" s="49">
        <v>76</v>
      </c>
      <c r="U76" s="51" t="str">
        <f>IF(OR(M76="",M76&gt;Settings!$B$2),"",Settings!$B$2-M76)</f>
        <v/>
      </c>
      <c r="V76" s="51" t="str">
        <f>IF(AND(N76&lt;&gt;"",N76&lt;Settings!$B$2,J76&lt;&gt;"Closed"),"Yes","No")</f>
        <v>No</v>
      </c>
      <c r="W76" s="51" t="str">
        <f>IF(AND(OR(J76="Initial Contact",J76="In Discussion",J76="Meeting Scheduled",J76="Engaged"),ISNUMBER(U76),U76&gt;Settings!$B$3),"Yes","No")</f>
        <v>No</v>
      </c>
    </row>
    <row r="77" spans="1:23" ht="15" customHeight="1" x14ac:dyDescent="0.35">
      <c r="A77" s="49" t="s">
        <v>651</v>
      </c>
      <c r="B77" s="49" t="s">
        <v>652</v>
      </c>
      <c r="C77" s="49" t="s">
        <v>588</v>
      </c>
      <c r="D77" s="49" t="s">
        <v>653</v>
      </c>
      <c r="E77" s="49" t="s">
        <v>231</v>
      </c>
      <c r="F77" s="49" t="s">
        <v>654</v>
      </c>
      <c r="G77" s="49" t="s">
        <v>221</v>
      </c>
      <c r="H77" s="49"/>
      <c r="I77" s="49" t="s">
        <v>291</v>
      </c>
      <c r="J77" s="49" t="s">
        <v>15</v>
      </c>
      <c r="K77" s="49" t="s">
        <v>276</v>
      </c>
      <c r="L77" s="50">
        <v>45884</v>
      </c>
      <c r="M77" s="50">
        <v>46277</v>
      </c>
      <c r="N77" s="50">
        <v>46321</v>
      </c>
      <c r="O77" s="49">
        <v>8</v>
      </c>
      <c r="P77" s="49" t="s">
        <v>244</v>
      </c>
      <c r="Q77" s="49" t="s">
        <v>277</v>
      </c>
      <c r="R77" s="49" t="s">
        <v>405</v>
      </c>
      <c r="S77" s="49" t="s">
        <v>655</v>
      </c>
      <c r="T77" s="49">
        <v>77</v>
      </c>
      <c r="U77" s="51">
        <f>IF(OR(M77="",M77&gt;Settings!$B$2),"",Settings!$B$2-M77)</f>
        <v>24</v>
      </c>
      <c r="V77" s="51" t="str">
        <f>IF(AND(N77&lt;&gt;"",N77&lt;Settings!$B$2,J77&lt;&gt;"Closed"),"Yes","No")</f>
        <v>No</v>
      </c>
      <c r="W77" s="51" t="str">
        <f>IF(AND(OR(J77="Initial Contact",J77="In Discussion",J77="Meeting Scheduled",J77="Engaged"),ISNUMBER(U77),U77&gt;Settings!$B$3),"Yes","No")</f>
        <v>No</v>
      </c>
    </row>
    <row r="78" spans="1:23" ht="15" customHeight="1" x14ac:dyDescent="0.35">
      <c r="A78" s="49" t="s">
        <v>656</v>
      </c>
      <c r="B78" s="49" t="s">
        <v>657</v>
      </c>
      <c r="C78" s="49" t="s">
        <v>658</v>
      </c>
      <c r="D78" s="49" t="s">
        <v>659</v>
      </c>
      <c r="E78" s="49" t="s">
        <v>312</v>
      </c>
      <c r="F78" s="49" t="s">
        <v>660</v>
      </c>
      <c r="G78" s="49" t="s">
        <v>221</v>
      </c>
      <c r="H78" s="49"/>
      <c r="I78" s="49" t="s">
        <v>291</v>
      </c>
      <c r="J78" s="49" t="s">
        <v>234</v>
      </c>
      <c r="K78" s="49" t="s">
        <v>276</v>
      </c>
      <c r="L78" s="50">
        <v>45844</v>
      </c>
      <c r="M78" s="50">
        <v>46276</v>
      </c>
      <c r="N78" s="50"/>
      <c r="O78" s="49"/>
      <c r="P78" s="49" t="s">
        <v>78</v>
      </c>
      <c r="Q78" s="49" t="s">
        <v>197</v>
      </c>
      <c r="R78" s="49" t="s">
        <v>300</v>
      </c>
      <c r="S78" s="49" t="s">
        <v>661</v>
      </c>
      <c r="T78" s="49">
        <v>78</v>
      </c>
      <c r="U78" s="51">
        <f>IF(OR(M78="",M78&gt;Settings!$B$2),"",Settings!$B$2-M78)</f>
        <v>25</v>
      </c>
      <c r="V78" s="51" t="str">
        <f>IF(AND(N78&lt;&gt;"",N78&lt;Settings!$B$2,J78&lt;&gt;"Closed"),"Yes","No")</f>
        <v>No</v>
      </c>
      <c r="W78" s="51" t="str">
        <f>IF(AND(OR(J78="Initial Contact",J78="In Discussion",J78="Meeting Scheduled",J78="Engaged"),ISNUMBER(U78),U78&gt;Settings!$B$3),"Yes","No")</f>
        <v>No</v>
      </c>
    </row>
    <row r="79" spans="1:23" ht="15" customHeight="1" x14ac:dyDescent="0.35">
      <c r="A79" s="49" t="s">
        <v>166</v>
      </c>
      <c r="B79" s="49" t="s">
        <v>662</v>
      </c>
      <c r="C79" s="49" t="s">
        <v>658</v>
      </c>
      <c r="D79" s="49" t="s">
        <v>663</v>
      </c>
      <c r="E79" s="49" t="s">
        <v>312</v>
      </c>
      <c r="F79" s="49" t="s">
        <v>664</v>
      </c>
      <c r="G79" s="49" t="s">
        <v>221</v>
      </c>
      <c r="H79" s="49" t="s">
        <v>665</v>
      </c>
      <c r="I79" s="49" t="s">
        <v>221</v>
      </c>
      <c r="J79" s="49" t="s">
        <v>243</v>
      </c>
      <c r="K79" s="49" t="s">
        <v>254</v>
      </c>
      <c r="L79" s="50">
        <v>46314</v>
      </c>
      <c r="M79" s="50">
        <v>45847</v>
      </c>
      <c r="N79" s="50">
        <v>46380</v>
      </c>
      <c r="O79" s="49">
        <v>5</v>
      </c>
      <c r="P79" s="49" t="s">
        <v>78</v>
      </c>
      <c r="Q79" s="49" t="s">
        <v>245</v>
      </c>
      <c r="R79" s="49" t="s">
        <v>246</v>
      </c>
      <c r="S79" s="49" t="s">
        <v>666</v>
      </c>
      <c r="T79" s="49">
        <v>79</v>
      </c>
      <c r="U79" s="51">
        <f>IF(OR(M79="",M79&gt;Settings!$B$2),"",Settings!$B$2-M79)</f>
        <v>454</v>
      </c>
      <c r="V79" s="51" t="str">
        <f>IF(AND(N79&lt;&gt;"",N79&lt;Settings!$B$2,J79&lt;&gt;"Closed"),"Yes","No")</f>
        <v>No</v>
      </c>
      <c r="W79" s="51" t="str">
        <f>IF(AND(OR(J79="Initial Contact",J79="In Discussion",J79="Meeting Scheduled",J79="Engaged"),ISNUMBER(U79),U79&gt;Settings!$B$3),"Yes","No")</f>
        <v>No</v>
      </c>
    </row>
    <row r="80" spans="1:23" ht="15" customHeight="1" x14ac:dyDescent="0.35">
      <c r="A80" s="49" t="s">
        <v>667</v>
      </c>
      <c r="B80" s="49" t="s">
        <v>668</v>
      </c>
      <c r="C80" s="49" t="s">
        <v>658</v>
      </c>
      <c r="D80" s="49" t="s">
        <v>669</v>
      </c>
      <c r="E80" s="49" t="s">
        <v>324</v>
      </c>
      <c r="F80" s="49"/>
      <c r="G80" s="49" t="s">
        <v>291</v>
      </c>
      <c r="H80" s="49" t="s">
        <v>670</v>
      </c>
      <c r="I80" s="49" t="s">
        <v>221</v>
      </c>
      <c r="J80" s="49" t="s">
        <v>15</v>
      </c>
      <c r="K80" s="49" t="s">
        <v>235</v>
      </c>
      <c r="L80" s="50">
        <v>46009</v>
      </c>
      <c r="M80" s="50">
        <v>46211</v>
      </c>
      <c r="N80" s="50">
        <v>46227</v>
      </c>
      <c r="O80" s="49">
        <v>10</v>
      </c>
      <c r="P80" s="49" t="s">
        <v>73</v>
      </c>
      <c r="Q80" s="49" t="s">
        <v>197</v>
      </c>
      <c r="R80" s="49" t="s">
        <v>255</v>
      </c>
      <c r="S80" s="49" t="s">
        <v>671</v>
      </c>
      <c r="T80" s="49">
        <v>80</v>
      </c>
      <c r="U80" s="51">
        <f>IF(OR(M80="",M80&gt;Settings!$B$2),"",Settings!$B$2-M80)</f>
        <v>90</v>
      </c>
      <c r="V80" s="51" t="str">
        <f>IF(AND(N80&lt;&gt;"",N80&lt;Settings!$B$2,J80&lt;&gt;"Closed"),"Yes","No")</f>
        <v>Yes</v>
      </c>
      <c r="W80" s="51" t="str">
        <f>IF(AND(OR(J80="Initial Contact",J80="In Discussion",J80="Meeting Scheduled",J80="Engaged"),ISNUMBER(U80),U80&gt;Settings!$B$3),"Yes","No")</f>
        <v>No</v>
      </c>
    </row>
    <row r="81" spans="1:23" ht="15" customHeight="1" x14ac:dyDescent="0.35">
      <c r="A81" s="49" t="s">
        <v>672</v>
      </c>
      <c r="B81" s="49" t="s">
        <v>673</v>
      </c>
      <c r="C81" s="49" t="s">
        <v>658</v>
      </c>
      <c r="D81" s="49" t="s">
        <v>674</v>
      </c>
      <c r="E81" s="49" t="s">
        <v>231</v>
      </c>
      <c r="F81" s="49" t="s">
        <v>675</v>
      </c>
      <c r="G81" s="49" t="s">
        <v>221</v>
      </c>
      <c r="H81" s="49" t="s">
        <v>676</v>
      </c>
      <c r="I81" s="49" t="s">
        <v>221</v>
      </c>
      <c r="J81" s="49" t="s">
        <v>234</v>
      </c>
      <c r="K81" s="49" t="s">
        <v>321</v>
      </c>
      <c r="L81" s="50">
        <v>45738</v>
      </c>
      <c r="M81" s="50">
        <v>46206</v>
      </c>
      <c r="N81" s="50">
        <v>46224</v>
      </c>
      <c r="O81" s="49">
        <v>1</v>
      </c>
      <c r="P81" s="49" t="s">
        <v>244</v>
      </c>
      <c r="Q81" s="49" t="s">
        <v>197</v>
      </c>
      <c r="R81" s="49" t="s">
        <v>340</v>
      </c>
      <c r="S81" s="49" t="s">
        <v>428</v>
      </c>
      <c r="T81" s="49">
        <v>81</v>
      </c>
      <c r="U81" s="51">
        <f>IF(OR(M81="",M81&gt;Settings!$B$2),"",Settings!$B$2-M81)</f>
        <v>95</v>
      </c>
      <c r="V81" s="51" t="str">
        <f>IF(AND(N81&lt;&gt;"",N81&lt;Settings!$B$2,J81&lt;&gt;"Closed"),"Yes","No")</f>
        <v>Yes</v>
      </c>
      <c r="W81" s="51" t="str">
        <f>IF(AND(OR(J81="Initial Contact",J81="In Discussion",J81="Meeting Scheduled",J81="Engaged"),ISNUMBER(U81),U81&gt;Settings!$B$3),"Yes","No")</f>
        <v>Yes</v>
      </c>
    </row>
    <row r="82" spans="1:23" ht="15" customHeight="1" x14ac:dyDescent="0.35">
      <c r="A82" s="49" t="s">
        <v>677</v>
      </c>
      <c r="B82" s="49" t="s">
        <v>678</v>
      </c>
      <c r="C82" s="49" t="s">
        <v>658</v>
      </c>
      <c r="D82" s="49" t="s">
        <v>679</v>
      </c>
      <c r="E82" s="49" t="s">
        <v>219</v>
      </c>
      <c r="F82" s="49"/>
      <c r="G82" s="49" t="s">
        <v>291</v>
      </c>
      <c r="H82" s="49" t="s">
        <v>680</v>
      </c>
      <c r="I82" s="49" t="s">
        <v>221</v>
      </c>
      <c r="J82" s="49" t="s">
        <v>261</v>
      </c>
      <c r="K82" s="49" t="s">
        <v>321</v>
      </c>
      <c r="L82" s="50">
        <v>45840</v>
      </c>
      <c r="M82" s="50">
        <v>46193</v>
      </c>
      <c r="N82" s="50">
        <v>46242</v>
      </c>
      <c r="O82" s="49">
        <v>5</v>
      </c>
      <c r="P82" s="49" t="s">
        <v>73</v>
      </c>
      <c r="Q82" s="49" t="s">
        <v>197</v>
      </c>
      <c r="R82" s="49" t="s">
        <v>434</v>
      </c>
      <c r="S82" s="49" t="s">
        <v>671</v>
      </c>
      <c r="T82" s="49">
        <v>82</v>
      </c>
      <c r="U82" s="51">
        <f>IF(OR(M82="",M82&gt;Settings!$B$2),"",Settings!$B$2-M82)</f>
        <v>108</v>
      </c>
      <c r="V82" s="51" t="str">
        <f>IF(AND(N82&lt;&gt;"",N82&lt;Settings!$B$2,J82&lt;&gt;"Closed"),"Yes","No")</f>
        <v>Yes</v>
      </c>
      <c r="W82" s="51" t="str">
        <f>IF(AND(OR(J82="Initial Contact",J82="In Discussion",J82="Meeting Scheduled",J82="Engaged"),ISNUMBER(U82),U82&gt;Settings!$B$3),"Yes","No")</f>
        <v>Yes</v>
      </c>
    </row>
    <row r="83" spans="1:23" ht="15" customHeight="1" x14ac:dyDescent="0.35">
      <c r="A83" s="49" t="s">
        <v>681</v>
      </c>
      <c r="B83" s="49" t="s">
        <v>682</v>
      </c>
      <c r="C83" s="49" t="s">
        <v>365</v>
      </c>
      <c r="D83" s="49" t="s">
        <v>683</v>
      </c>
      <c r="E83" s="49" t="s">
        <v>324</v>
      </c>
      <c r="F83" s="49" t="s">
        <v>684</v>
      </c>
      <c r="G83" s="49" t="s">
        <v>221</v>
      </c>
      <c r="H83" s="49" t="s">
        <v>685</v>
      </c>
      <c r="I83" s="49" t="s">
        <v>221</v>
      </c>
      <c r="J83" s="49" t="s">
        <v>284</v>
      </c>
      <c r="K83" s="49" t="s">
        <v>235</v>
      </c>
      <c r="L83" s="50">
        <v>46192</v>
      </c>
      <c r="M83" s="50">
        <v>46281</v>
      </c>
      <c r="N83" s="50">
        <v>46312</v>
      </c>
      <c r="O83" s="49">
        <v>7</v>
      </c>
      <c r="P83" s="49" t="s">
        <v>64</v>
      </c>
      <c r="Q83" s="49" t="s">
        <v>197</v>
      </c>
      <c r="R83" s="49" t="s">
        <v>315</v>
      </c>
      <c r="S83" s="49" t="s">
        <v>686</v>
      </c>
      <c r="T83" s="49">
        <v>83</v>
      </c>
      <c r="U83" s="51">
        <f>IF(OR(M83="",M83&gt;Settings!$B$2),"",Settings!$B$2-M83)</f>
        <v>20</v>
      </c>
      <c r="V83" s="51" t="str">
        <f>IF(AND(N83&lt;&gt;"",N83&lt;Settings!$B$2,J83&lt;&gt;"Closed"),"Yes","No")</f>
        <v>No</v>
      </c>
      <c r="W83" s="51" t="str">
        <f>IF(AND(OR(J83="Initial Contact",J83="In Discussion",J83="Meeting Scheduled",J83="Engaged"),ISNUMBER(U83),U83&gt;Settings!$B$3),"Yes","No")</f>
        <v>No</v>
      </c>
    </row>
    <row r="84" spans="1:23" ht="15" customHeight="1" x14ac:dyDescent="0.35">
      <c r="A84" s="49" t="s">
        <v>687</v>
      </c>
      <c r="B84" s="49" t="s">
        <v>688</v>
      </c>
      <c r="C84" s="49" t="s">
        <v>658</v>
      </c>
      <c r="D84" s="49" t="s">
        <v>689</v>
      </c>
      <c r="E84" s="49" t="s">
        <v>324</v>
      </c>
      <c r="F84" s="49" t="s">
        <v>690</v>
      </c>
      <c r="G84" s="49" t="s">
        <v>221</v>
      </c>
      <c r="H84" s="49" t="s">
        <v>691</v>
      </c>
      <c r="I84" s="49" t="s">
        <v>221</v>
      </c>
      <c r="J84" s="49" t="s">
        <v>234</v>
      </c>
      <c r="K84" s="49" t="s">
        <v>235</v>
      </c>
      <c r="L84" s="50">
        <v>46092</v>
      </c>
      <c r="M84" s="50">
        <v>46251</v>
      </c>
      <c r="N84" s="50">
        <v>46275</v>
      </c>
      <c r="O84" s="49">
        <v>2</v>
      </c>
      <c r="P84" s="49" t="s">
        <v>78</v>
      </c>
      <c r="Q84" s="49" t="s">
        <v>263</v>
      </c>
      <c r="R84" s="49" t="s">
        <v>515</v>
      </c>
      <c r="S84" s="49"/>
      <c r="T84" s="49">
        <v>84</v>
      </c>
      <c r="U84" s="51">
        <f>IF(OR(M84="",M84&gt;Settings!$B$2),"",Settings!$B$2-M84)</f>
        <v>50</v>
      </c>
      <c r="V84" s="51" t="str">
        <f>IF(AND(N84&lt;&gt;"",N84&lt;Settings!$B$2,J84&lt;&gt;"Closed"),"Yes","No")</f>
        <v>Yes</v>
      </c>
      <c r="W84" s="51" t="str">
        <f>IF(AND(OR(J84="Initial Contact",J84="In Discussion",J84="Meeting Scheduled",J84="Engaged"),ISNUMBER(U84),U84&gt;Settings!$B$3),"Yes","No")</f>
        <v>No</v>
      </c>
    </row>
    <row r="85" spans="1:23" ht="15" customHeight="1" x14ac:dyDescent="0.35">
      <c r="A85" s="49" t="s">
        <v>692</v>
      </c>
      <c r="B85" s="49" t="s">
        <v>693</v>
      </c>
      <c r="C85" s="49" t="s">
        <v>658</v>
      </c>
      <c r="D85" s="49" t="s">
        <v>694</v>
      </c>
      <c r="E85" s="49" t="s">
        <v>290</v>
      </c>
      <c r="F85" s="49" t="s">
        <v>695</v>
      </c>
      <c r="G85" s="49" t="s">
        <v>221</v>
      </c>
      <c r="H85" s="49"/>
      <c r="I85" s="49" t="s">
        <v>291</v>
      </c>
      <c r="J85" s="49" t="s">
        <v>223</v>
      </c>
      <c r="K85" s="49" t="s">
        <v>254</v>
      </c>
      <c r="L85" s="50"/>
      <c r="M85" s="50"/>
      <c r="N85" s="50"/>
      <c r="O85" s="49">
        <v>0</v>
      </c>
      <c r="P85" s="49" t="s">
        <v>225</v>
      </c>
      <c r="Q85" s="49" t="s">
        <v>225</v>
      </c>
      <c r="R85" s="49"/>
      <c r="S85" s="49" t="s">
        <v>696</v>
      </c>
      <c r="T85" s="49">
        <v>85</v>
      </c>
      <c r="U85" s="51" t="str">
        <f>IF(OR(M85="",M85&gt;Settings!$B$2),"",Settings!$B$2-M85)</f>
        <v/>
      </c>
      <c r="V85" s="51" t="str">
        <f>IF(AND(N85&lt;&gt;"",N85&lt;Settings!$B$2,J85&lt;&gt;"Closed"),"Yes","No")</f>
        <v>No</v>
      </c>
      <c r="W85" s="51" t="str">
        <f>IF(AND(OR(J85="Initial Contact",J85="In Discussion",J85="Meeting Scheduled",J85="Engaged"),ISNUMBER(U85),U85&gt;Settings!$B$3),"Yes","No")</f>
        <v>No</v>
      </c>
    </row>
  </sheetData>
  <autoFilter ref="A1:W85" xr:uid="{00000000-0009-0000-0000-000003000000}"/>
  <conditionalFormatting sqref="S2:S85">
    <cfRule type="expression" dxfId="0" priority="2">
      <formula>LEN($S2)&gt;0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F8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4" style="41" customWidth="1"/>
    <col min="2" max="2" width="12" style="41" customWidth="1"/>
    <col min="3" max="3" width="14" style="41" customWidth="1"/>
    <col min="4" max="5" width="18" style="41" customWidth="1"/>
    <col min="6" max="6" width="95" style="41" customWidth="1"/>
  </cols>
  <sheetData>
    <row r="1" spans="1:6" ht="23.25" customHeight="1" x14ac:dyDescent="0.35">
      <c r="A1" s="47" t="s">
        <v>697</v>
      </c>
      <c r="B1" s="47" t="s">
        <v>194</v>
      </c>
      <c r="C1" s="47" t="s">
        <v>24</v>
      </c>
      <c r="D1" s="47" t="s">
        <v>195</v>
      </c>
      <c r="E1" s="47" t="s">
        <v>201</v>
      </c>
      <c r="F1" s="47" t="s">
        <v>698</v>
      </c>
    </row>
    <row r="2" spans="1:6" ht="15" customHeight="1" x14ac:dyDescent="0.35">
      <c r="A2" s="49">
        <v>86</v>
      </c>
      <c r="B2" s="49" t="s">
        <v>601</v>
      </c>
      <c r="C2" s="49" t="s">
        <v>602</v>
      </c>
      <c r="D2" s="49" t="s">
        <v>603</v>
      </c>
      <c r="E2" s="49" t="s">
        <v>234</v>
      </c>
      <c r="F2" s="49" t="s">
        <v>699</v>
      </c>
    </row>
    <row r="3" spans="1:6" ht="15" customHeight="1" x14ac:dyDescent="0.35">
      <c r="A3" s="49">
        <v>87</v>
      </c>
      <c r="B3" s="49" t="s">
        <v>295</v>
      </c>
      <c r="C3" s="49" t="s">
        <v>296</v>
      </c>
      <c r="D3" s="49" t="s">
        <v>297</v>
      </c>
      <c r="E3" s="49" t="s">
        <v>700</v>
      </c>
      <c r="F3" s="49" t="s">
        <v>699</v>
      </c>
    </row>
    <row r="4" spans="1:6" ht="15" customHeight="1" x14ac:dyDescent="0.35">
      <c r="A4" s="49">
        <v>88</v>
      </c>
      <c r="B4" s="49" t="s">
        <v>529</v>
      </c>
      <c r="C4" s="49" t="s">
        <v>530</v>
      </c>
      <c r="D4" s="49" t="s">
        <v>531</v>
      </c>
      <c r="E4" s="49" t="s">
        <v>223</v>
      </c>
      <c r="F4" s="49" t="s">
        <v>699</v>
      </c>
    </row>
    <row r="5" spans="1:6" ht="15" customHeight="1" x14ac:dyDescent="0.35">
      <c r="A5" s="49">
        <v>89</v>
      </c>
      <c r="B5" s="49" t="s">
        <v>457</v>
      </c>
      <c r="C5" s="49" t="s">
        <v>458</v>
      </c>
      <c r="D5" s="49" t="s">
        <v>459</v>
      </c>
      <c r="E5" s="49" t="s">
        <v>15</v>
      </c>
      <c r="F5" s="49" t="s">
        <v>699</v>
      </c>
    </row>
    <row r="6" spans="1:6" ht="15" customHeight="1" x14ac:dyDescent="0.35">
      <c r="A6" s="49">
        <v>90</v>
      </c>
      <c r="B6" s="49" t="s">
        <v>701</v>
      </c>
      <c r="C6" s="49" t="s">
        <v>597</v>
      </c>
      <c r="D6" s="49" t="s">
        <v>702</v>
      </c>
      <c r="E6" s="49" t="s">
        <v>15</v>
      </c>
      <c r="F6" s="49" t="s">
        <v>703</v>
      </c>
    </row>
    <row r="7" spans="1:6" ht="15" customHeight="1" x14ac:dyDescent="0.35">
      <c r="A7" s="49">
        <v>91</v>
      </c>
      <c r="B7" s="49" t="s">
        <v>704</v>
      </c>
      <c r="C7" s="49" t="s">
        <v>393</v>
      </c>
      <c r="D7" s="49" t="s">
        <v>705</v>
      </c>
      <c r="E7" s="49" t="s">
        <v>397</v>
      </c>
      <c r="F7" s="49" t="s">
        <v>703</v>
      </c>
    </row>
    <row r="8" spans="1:6" ht="15" customHeight="1" x14ac:dyDescent="0.35">
      <c r="A8" s="49">
        <v>92</v>
      </c>
      <c r="B8" s="49" t="s">
        <v>706</v>
      </c>
      <c r="C8" s="49" t="s">
        <v>707</v>
      </c>
      <c r="D8" s="49" t="s">
        <v>708</v>
      </c>
      <c r="E8" s="49" t="s">
        <v>15</v>
      </c>
      <c r="F8" s="49" t="s">
        <v>703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</sheetPr>
  <dimension ref="A1:E29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24" style="41" customWidth="1"/>
    <col min="2" max="2" width="20" style="41" customWidth="1"/>
    <col min="3" max="4" width="62" style="41" customWidth="1"/>
    <col min="5" max="5" width="13" style="41" customWidth="1"/>
  </cols>
  <sheetData>
    <row r="1" spans="1:5" ht="15" customHeight="1" x14ac:dyDescent="0.35">
      <c r="A1" s="42" t="s">
        <v>709</v>
      </c>
    </row>
    <row r="3" spans="1:5" ht="15" customHeight="1" x14ac:dyDescent="0.35">
      <c r="A3" s="47" t="s">
        <v>710</v>
      </c>
      <c r="B3" s="47" t="s">
        <v>37</v>
      </c>
      <c r="C3" s="47" t="s">
        <v>56</v>
      </c>
      <c r="D3" s="47" t="s">
        <v>711</v>
      </c>
      <c r="E3" s="47" t="s">
        <v>712</v>
      </c>
    </row>
    <row r="4" spans="1:5" ht="23.25" customHeight="1" x14ac:dyDescent="0.35">
      <c r="A4" s="52" t="s">
        <v>713</v>
      </c>
      <c r="B4" s="52" t="s">
        <v>714</v>
      </c>
      <c r="C4" s="52" t="s">
        <v>715</v>
      </c>
      <c r="D4" s="52" t="s">
        <v>716</v>
      </c>
      <c r="E4" s="53">
        <f>COUNTA(Removed_Rows!A2:A100)</f>
        <v>7</v>
      </c>
    </row>
    <row r="5" spans="1:5" ht="23.25" customHeight="1" x14ac:dyDescent="0.35">
      <c r="A5" s="52" t="s">
        <v>399</v>
      </c>
      <c r="B5" s="52" t="s">
        <v>714</v>
      </c>
      <c r="C5" s="52" t="s">
        <v>717</v>
      </c>
      <c r="D5" s="52" t="s">
        <v>718</v>
      </c>
      <c r="E5" s="53">
        <f>COUNTIF(Clean_Data!$S:$S,"*NEAR_DUP_KEPT*")</f>
        <v>3</v>
      </c>
    </row>
    <row r="6" spans="1:5" ht="15" customHeight="1" x14ac:dyDescent="0.35">
      <c r="A6" s="52" t="s">
        <v>719</v>
      </c>
      <c r="B6" s="52" t="s">
        <v>194</v>
      </c>
      <c r="C6" s="52" t="s">
        <v>720</v>
      </c>
      <c r="D6" s="52" t="s">
        <v>721</v>
      </c>
      <c r="E6" s="53">
        <f>COUNTIF(Clean_Data!$S:$S,"*ID_INFERRED*")</f>
        <v>2</v>
      </c>
    </row>
    <row r="7" spans="1:5" ht="15" customHeight="1" x14ac:dyDescent="0.35">
      <c r="A7" s="52" t="s">
        <v>227</v>
      </c>
      <c r="B7" s="52" t="s">
        <v>24</v>
      </c>
      <c r="C7" s="52" t="s">
        <v>722</v>
      </c>
      <c r="D7" s="52" t="s">
        <v>723</v>
      </c>
      <c r="E7" s="53">
        <f>COUNTIF(Clean_Data!$S:$S,"*COUNTRY_STD*")</f>
        <v>3</v>
      </c>
    </row>
    <row r="8" spans="1:5" ht="15" customHeight="1" x14ac:dyDescent="0.35">
      <c r="A8" s="52" t="s">
        <v>334</v>
      </c>
      <c r="B8" s="52" t="s">
        <v>12</v>
      </c>
      <c r="C8" s="52" t="s">
        <v>724</v>
      </c>
      <c r="D8" s="52" t="s">
        <v>725</v>
      </c>
      <c r="E8" s="53">
        <f>COUNTIF(Clean_Data!$S:$S,"*REGION_STD*")</f>
        <v>8</v>
      </c>
    </row>
    <row r="9" spans="1:5" ht="23.25" customHeight="1" x14ac:dyDescent="0.35">
      <c r="A9" s="52" t="s">
        <v>347</v>
      </c>
      <c r="B9" s="52" t="s">
        <v>12</v>
      </c>
      <c r="C9" s="52" t="s">
        <v>726</v>
      </c>
      <c r="D9" s="52" t="s">
        <v>727</v>
      </c>
      <c r="E9" s="53">
        <f>COUNTIF(Clean_Data!$S:$S,"*REGION_FILLED*")</f>
        <v>5</v>
      </c>
    </row>
    <row r="10" spans="1:5" ht="23.25" customHeight="1" x14ac:dyDescent="0.35">
      <c r="A10" s="52" t="s">
        <v>728</v>
      </c>
      <c r="B10" s="52" t="s">
        <v>12</v>
      </c>
      <c r="C10" s="52" t="s">
        <v>729</v>
      </c>
      <c r="D10" s="52" t="s">
        <v>730</v>
      </c>
      <c r="E10" s="53">
        <f>COUNTIF(Clean_Data!$S:$S,"*REGION_REVIEW*")</f>
        <v>1</v>
      </c>
    </row>
    <row r="11" spans="1:5" ht="23.25" customHeight="1" x14ac:dyDescent="0.35">
      <c r="A11" s="52" t="s">
        <v>421</v>
      </c>
      <c r="B11" s="52" t="s">
        <v>201</v>
      </c>
      <c r="C11" s="52" t="s">
        <v>731</v>
      </c>
      <c r="D11" s="52" t="s">
        <v>732</v>
      </c>
      <c r="E11" s="53">
        <f>COUNTIF(Clean_Data!$S:$S,"*STATUS_STD*")</f>
        <v>13</v>
      </c>
    </row>
    <row r="12" spans="1:5" ht="15" customHeight="1" x14ac:dyDescent="0.35">
      <c r="A12" s="52" t="s">
        <v>308</v>
      </c>
      <c r="B12" s="52" t="s">
        <v>733</v>
      </c>
      <c r="C12" s="52" t="s">
        <v>734</v>
      </c>
      <c r="D12" s="52" t="s">
        <v>735</v>
      </c>
      <c r="E12" s="53">
        <f>COUNTIF(Clean_Data!$S:$S,"*DATE_TEXT*")</f>
        <v>8</v>
      </c>
    </row>
    <row r="13" spans="1:5" ht="15" customHeight="1" x14ac:dyDescent="0.35">
      <c r="A13" s="52" t="s">
        <v>506</v>
      </c>
      <c r="B13" s="52" t="s">
        <v>733</v>
      </c>
      <c r="C13" s="52" t="s">
        <v>736</v>
      </c>
      <c r="D13" s="52" t="s">
        <v>737</v>
      </c>
      <c r="E13" s="53">
        <f>COUNTIF(Clean_Data!$S:$S,"*DATE_ORDER*")</f>
        <v>4</v>
      </c>
    </row>
    <row r="14" spans="1:5" ht="15" customHeight="1" x14ac:dyDescent="0.35">
      <c r="A14" s="52" t="s">
        <v>738</v>
      </c>
      <c r="B14" s="52" t="s">
        <v>733</v>
      </c>
      <c r="C14" s="52" t="s">
        <v>739</v>
      </c>
      <c r="D14" s="52" t="s">
        <v>740</v>
      </c>
      <c r="E14" s="53">
        <f>COUNTIF(Clean_Data!$S:$S,"*DATE_FUTURE_FIRST*")</f>
        <v>1</v>
      </c>
    </row>
    <row r="15" spans="1:5" ht="15" customHeight="1" x14ac:dyDescent="0.35">
      <c r="A15" s="52" t="s">
        <v>741</v>
      </c>
      <c r="B15" s="52" t="s">
        <v>733</v>
      </c>
      <c r="C15" s="52" t="s">
        <v>742</v>
      </c>
      <c r="D15" s="52" t="s">
        <v>743</v>
      </c>
      <c r="E15" s="53">
        <f>COUNTIF(Clean_Data!$S:$S,"*DATE_FUTURE_LAST*")</f>
        <v>3</v>
      </c>
    </row>
    <row r="16" spans="1:5" ht="23.25" customHeight="1" x14ac:dyDescent="0.35">
      <c r="A16" s="52" t="s">
        <v>744</v>
      </c>
      <c r="B16" s="52" t="s">
        <v>733</v>
      </c>
      <c r="C16" s="52" t="s">
        <v>745</v>
      </c>
      <c r="D16" s="52" t="s">
        <v>740</v>
      </c>
      <c r="E16" s="53">
        <f>COUNTIF(Clean_Data!$S:$S,"*FOLLOWUP_BEFORE_LAST*")</f>
        <v>2</v>
      </c>
    </row>
    <row r="17" spans="1:5" ht="15" customHeight="1" x14ac:dyDescent="0.35">
      <c r="A17" s="52" t="s">
        <v>746</v>
      </c>
      <c r="B17" s="52" t="s">
        <v>206</v>
      </c>
      <c r="C17" s="52" t="s">
        <v>747</v>
      </c>
      <c r="D17" s="52" t="s">
        <v>748</v>
      </c>
      <c r="E17" s="53">
        <f>COUNTIF(Clean_Data!$S:$S,"*INTERACTIONS_NEG*")</f>
        <v>1</v>
      </c>
    </row>
    <row r="18" spans="1:5" ht="15" customHeight="1" x14ac:dyDescent="0.35">
      <c r="A18" s="52" t="s">
        <v>278</v>
      </c>
      <c r="B18" s="52" t="s">
        <v>206</v>
      </c>
      <c r="C18" s="52" t="s">
        <v>749</v>
      </c>
      <c r="D18" s="52" t="s">
        <v>750</v>
      </c>
      <c r="E18" s="53">
        <f>COUNTIF(Clean_Data!$S:$S,"*INTERACTIONS_MISSING*")</f>
        <v>5</v>
      </c>
    </row>
    <row r="19" spans="1:5" ht="23.25" customHeight="1" x14ac:dyDescent="0.35">
      <c r="A19" s="52" t="s">
        <v>353</v>
      </c>
      <c r="B19" s="52" t="s">
        <v>751</v>
      </c>
      <c r="C19" s="52" t="s">
        <v>752</v>
      </c>
      <c r="D19" s="52" t="s">
        <v>753</v>
      </c>
      <c r="E19" s="53">
        <f>COUNTIF(Clean_Data!$S:$S,"*STATUS_CONFLICT*")</f>
        <v>7</v>
      </c>
    </row>
    <row r="20" spans="1:5" ht="15" customHeight="1" x14ac:dyDescent="0.35">
      <c r="A20" s="52" t="s">
        <v>387</v>
      </c>
      <c r="B20" s="52" t="s">
        <v>202</v>
      </c>
      <c r="C20" s="52" t="s">
        <v>754</v>
      </c>
      <c r="D20" s="52" t="s">
        <v>755</v>
      </c>
      <c r="E20" s="53">
        <f>COUNTIF(Clean_Data!$S:$S,"*OWNER_MISSING*")</f>
        <v>8</v>
      </c>
    </row>
    <row r="21" spans="1:5" ht="15" customHeight="1" x14ac:dyDescent="0.35">
      <c r="A21" s="52" t="s">
        <v>428</v>
      </c>
      <c r="B21" s="52" t="s">
        <v>207</v>
      </c>
      <c r="C21" s="52" t="s">
        <v>756</v>
      </c>
      <c r="D21" s="52" t="s">
        <v>757</v>
      </c>
      <c r="E21" s="53">
        <f>COUNTIF(Clean_Data!$S:$S,"*ENG_MISSING*")</f>
        <v>10</v>
      </c>
    </row>
    <row r="22" spans="1:5" ht="15" customHeight="1" x14ac:dyDescent="0.35">
      <c r="A22" s="52" t="s">
        <v>758</v>
      </c>
      <c r="B22" s="52" t="s">
        <v>208</v>
      </c>
      <c r="C22" s="52" t="s">
        <v>756</v>
      </c>
      <c r="D22" s="52" t="s">
        <v>759</v>
      </c>
      <c r="E22" s="53">
        <f>COUNTIF(Clean_Data!$S:$S,"*CHANNEL_MISSING*")</f>
        <v>0</v>
      </c>
    </row>
    <row r="23" spans="1:5" ht="15" customHeight="1" x14ac:dyDescent="0.35">
      <c r="A23" s="52" t="s">
        <v>549</v>
      </c>
      <c r="B23" s="52" t="s">
        <v>205</v>
      </c>
      <c r="C23" s="52" t="s">
        <v>87</v>
      </c>
      <c r="D23" s="52" t="s">
        <v>760</v>
      </c>
      <c r="E23" s="53">
        <f>COUNTIF(Clean_Data!$S:$S,"*FOLLOWUP_MISSING*")</f>
        <v>7</v>
      </c>
    </row>
    <row r="24" spans="1:5" ht="15" customHeight="1" x14ac:dyDescent="0.35">
      <c r="A24" s="52" t="s">
        <v>516</v>
      </c>
      <c r="B24" s="52" t="s">
        <v>197</v>
      </c>
      <c r="C24" s="52" t="s">
        <v>761</v>
      </c>
      <c r="D24" s="52" t="s">
        <v>762</v>
      </c>
      <c r="E24" s="53">
        <f>COUNTIF(Clean_Data!$S:$S,"*EMAIL_MISSING*")</f>
        <v>7</v>
      </c>
    </row>
    <row r="25" spans="1:5" ht="15" customHeight="1" x14ac:dyDescent="0.35">
      <c r="A25" s="52" t="s">
        <v>522</v>
      </c>
      <c r="B25" s="52" t="s">
        <v>197</v>
      </c>
      <c r="C25" s="52" t="s">
        <v>763</v>
      </c>
      <c r="D25" s="52" t="s">
        <v>764</v>
      </c>
      <c r="E25" s="53">
        <f>COUNTIF(Clean_Data!$S:$S,"*EMAIL_INVALID*")</f>
        <v>6</v>
      </c>
    </row>
    <row r="26" spans="1:5" ht="15" customHeight="1" x14ac:dyDescent="0.35">
      <c r="A26" s="52" t="s">
        <v>696</v>
      </c>
      <c r="B26" s="52" t="s">
        <v>245</v>
      </c>
      <c r="C26" s="52" t="s">
        <v>765</v>
      </c>
      <c r="D26" s="52" t="s">
        <v>766</v>
      </c>
      <c r="E26" s="53">
        <f>COUNTIF(Clean_Data!$S:$S,"*PHONE_MISSING*")</f>
        <v>8</v>
      </c>
    </row>
    <row r="27" spans="1:5" ht="23.25" customHeight="1" x14ac:dyDescent="0.35">
      <c r="A27" s="52" t="s">
        <v>392</v>
      </c>
      <c r="B27" s="52" t="s">
        <v>245</v>
      </c>
      <c r="C27" s="52" t="s">
        <v>767</v>
      </c>
      <c r="D27" s="52" t="s">
        <v>768</v>
      </c>
      <c r="E27" s="53">
        <f>COUNTIF(Clean_Data!$S:$S,"*PHONE_INVALID*")</f>
        <v>4</v>
      </c>
    </row>
    <row r="29" spans="1:5" ht="15" customHeight="1" x14ac:dyDescent="0.35">
      <c r="A29" s="44" t="s">
        <v>769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9999"/>
  </sheetPr>
  <dimension ref="A1:P9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11" style="41" customWidth="1"/>
    <col min="2" max="2" width="22" style="41" customWidth="1"/>
    <col min="3" max="3" width="26" style="41" customWidth="1"/>
    <col min="4" max="4" width="20" style="41" customWidth="1"/>
    <col min="5" max="5" width="28" style="41" customWidth="1"/>
    <col min="6" max="6" width="38" style="41" customWidth="1"/>
    <col min="7" max="7" width="18" style="41" customWidth="1"/>
    <col min="8" max="8" width="20" style="41" customWidth="1"/>
    <col min="9" max="9" width="18" style="41" customWidth="1"/>
    <col min="10" max="12" width="15" style="41" customWidth="1"/>
    <col min="13" max="13" width="12" style="41" customWidth="1"/>
    <col min="14" max="14" width="14" style="41" customWidth="1"/>
    <col min="15" max="15" width="15" style="41" customWidth="1"/>
    <col min="16" max="16" width="36" style="41" customWidth="1"/>
  </cols>
  <sheetData>
    <row r="1" spans="1:16" ht="26.25" customHeight="1" x14ac:dyDescent="0.35">
      <c r="A1" s="54" t="s">
        <v>194</v>
      </c>
      <c r="B1" s="54" t="s">
        <v>24</v>
      </c>
      <c r="C1" s="54" t="s">
        <v>12</v>
      </c>
      <c r="D1" s="54" t="s">
        <v>195</v>
      </c>
      <c r="E1" s="54" t="s">
        <v>196</v>
      </c>
      <c r="F1" s="54" t="s">
        <v>197</v>
      </c>
      <c r="G1" s="54" t="s">
        <v>245</v>
      </c>
      <c r="H1" s="54" t="s">
        <v>201</v>
      </c>
      <c r="I1" s="54" t="s">
        <v>202</v>
      </c>
      <c r="J1" s="54" t="s">
        <v>203</v>
      </c>
      <c r="K1" s="54" t="s">
        <v>204</v>
      </c>
      <c r="L1" s="54" t="s">
        <v>205</v>
      </c>
      <c r="M1" s="54" t="s">
        <v>206</v>
      </c>
      <c r="N1" s="54" t="s">
        <v>207</v>
      </c>
      <c r="O1" s="54" t="s">
        <v>208</v>
      </c>
      <c r="P1" s="54" t="s">
        <v>209</v>
      </c>
    </row>
    <row r="2" spans="1:16" ht="15" customHeight="1" x14ac:dyDescent="0.35">
      <c r="A2" s="46" t="s">
        <v>215</v>
      </c>
      <c r="B2" s="46" t="s">
        <v>770</v>
      </c>
      <c r="C2" s="46" t="s">
        <v>217</v>
      </c>
      <c r="D2" s="46" t="s">
        <v>218</v>
      </c>
      <c r="E2" s="46" t="s">
        <v>219</v>
      </c>
      <c r="F2" s="46" t="s">
        <v>220</v>
      </c>
      <c r="G2" s="46" t="s">
        <v>222</v>
      </c>
      <c r="H2" s="46" t="s">
        <v>223</v>
      </c>
      <c r="I2" s="46" t="s">
        <v>224</v>
      </c>
      <c r="J2" s="46"/>
      <c r="K2" s="46"/>
      <c r="L2" s="46"/>
      <c r="M2" s="46">
        <v>0</v>
      </c>
      <c r="N2" s="46"/>
      <c r="O2" s="46"/>
      <c r="P2" s="46" t="s">
        <v>226</v>
      </c>
    </row>
    <row r="3" spans="1:16" ht="15" customHeight="1" x14ac:dyDescent="0.35">
      <c r="A3" s="46" t="s">
        <v>228</v>
      </c>
      <c r="B3" s="46" t="s">
        <v>771</v>
      </c>
      <c r="C3" s="46" t="s">
        <v>217</v>
      </c>
      <c r="D3" s="46" t="s">
        <v>230</v>
      </c>
      <c r="E3" s="46" t="s">
        <v>231</v>
      </c>
      <c r="F3" s="46" t="s">
        <v>232</v>
      </c>
      <c r="G3" s="46" t="s">
        <v>772</v>
      </c>
      <c r="H3" s="46" t="s">
        <v>700</v>
      </c>
      <c r="I3" s="46" t="s">
        <v>235</v>
      </c>
      <c r="J3" s="55">
        <v>46057</v>
      </c>
      <c r="K3" s="55">
        <v>46078</v>
      </c>
      <c r="L3" s="55">
        <v>46132</v>
      </c>
      <c r="M3" s="46">
        <v>1</v>
      </c>
      <c r="N3" s="46" t="s">
        <v>78</v>
      </c>
      <c r="O3" s="46" t="s">
        <v>197</v>
      </c>
      <c r="P3" s="46" t="s">
        <v>236</v>
      </c>
    </row>
    <row r="4" spans="1:16" ht="15" customHeight="1" x14ac:dyDescent="0.35">
      <c r="A4" s="46" t="s">
        <v>238</v>
      </c>
      <c r="B4" s="46" t="s">
        <v>239</v>
      </c>
      <c r="C4" s="46"/>
      <c r="D4" s="46" t="s">
        <v>240</v>
      </c>
      <c r="E4" s="46" t="s">
        <v>219</v>
      </c>
      <c r="F4" s="46" t="s">
        <v>241</v>
      </c>
      <c r="G4" s="46" t="s">
        <v>773</v>
      </c>
      <c r="H4" s="46" t="s">
        <v>243</v>
      </c>
      <c r="I4" s="46" t="s">
        <v>224</v>
      </c>
      <c r="J4" s="55">
        <v>46079</v>
      </c>
      <c r="K4" s="55">
        <v>46143</v>
      </c>
      <c r="L4" s="55">
        <v>46257</v>
      </c>
      <c r="M4" s="46">
        <v>6</v>
      </c>
      <c r="N4" s="46"/>
      <c r="O4" s="46" t="s">
        <v>245</v>
      </c>
      <c r="P4" s="46" t="s">
        <v>246</v>
      </c>
    </row>
    <row r="5" spans="1:16" ht="15" customHeight="1" x14ac:dyDescent="0.35">
      <c r="A5" s="46" t="s">
        <v>248</v>
      </c>
      <c r="B5" s="46" t="s">
        <v>249</v>
      </c>
      <c r="C5" s="46" t="s">
        <v>217</v>
      </c>
      <c r="D5" s="46" t="s">
        <v>250</v>
      </c>
      <c r="E5" s="46" t="s">
        <v>251</v>
      </c>
      <c r="F5" s="46" t="s">
        <v>252</v>
      </c>
      <c r="G5" s="46" t="s">
        <v>774</v>
      </c>
      <c r="H5" s="46" t="s">
        <v>15</v>
      </c>
      <c r="I5" s="46" t="s">
        <v>254</v>
      </c>
      <c r="J5" s="55">
        <v>46233</v>
      </c>
      <c r="K5" s="55">
        <v>46248</v>
      </c>
      <c r="L5" s="55">
        <v>46287</v>
      </c>
      <c r="M5" s="46">
        <v>19</v>
      </c>
      <c r="N5" s="46" t="s">
        <v>64</v>
      </c>
      <c r="O5" s="46" t="s">
        <v>245</v>
      </c>
      <c r="P5" s="46" t="s">
        <v>255</v>
      </c>
    </row>
    <row r="6" spans="1:16" ht="15" customHeight="1" x14ac:dyDescent="0.35">
      <c r="A6" s="46" t="s">
        <v>256</v>
      </c>
      <c r="B6" s="46" t="s">
        <v>257</v>
      </c>
      <c r="C6" s="46" t="s">
        <v>217</v>
      </c>
      <c r="D6" s="46" t="s">
        <v>258</v>
      </c>
      <c r="E6" s="46" t="s">
        <v>219</v>
      </c>
      <c r="F6" s="46" t="s">
        <v>259</v>
      </c>
      <c r="G6" s="46" t="s">
        <v>260</v>
      </c>
      <c r="H6" s="46" t="s">
        <v>261</v>
      </c>
      <c r="I6" s="46" t="s">
        <v>262</v>
      </c>
      <c r="J6" s="55">
        <v>46199</v>
      </c>
      <c r="K6" s="55">
        <v>46270</v>
      </c>
      <c r="L6" s="55">
        <v>46295</v>
      </c>
      <c r="M6" s="46">
        <v>8</v>
      </c>
      <c r="N6" s="46" t="s">
        <v>78</v>
      </c>
      <c r="O6" s="46" t="s">
        <v>263</v>
      </c>
      <c r="P6" s="46" t="s">
        <v>264</v>
      </c>
    </row>
    <row r="7" spans="1:16" ht="15" customHeight="1" x14ac:dyDescent="0.35">
      <c r="A7" s="46" t="s">
        <v>145</v>
      </c>
      <c r="B7" s="46" t="s">
        <v>265</v>
      </c>
      <c r="C7" s="46" t="s">
        <v>217</v>
      </c>
      <c r="D7" s="46" t="s">
        <v>266</v>
      </c>
      <c r="E7" s="46" t="s">
        <v>219</v>
      </c>
      <c r="F7" s="46" t="s">
        <v>267</v>
      </c>
      <c r="G7" s="46" t="s">
        <v>775</v>
      </c>
      <c r="H7" s="46" t="s">
        <v>776</v>
      </c>
      <c r="I7" s="46" t="s">
        <v>224</v>
      </c>
      <c r="J7" s="46"/>
      <c r="K7" s="55">
        <v>46249</v>
      </c>
      <c r="L7" s="46"/>
      <c r="M7" s="46">
        <v>2</v>
      </c>
      <c r="N7" s="46"/>
      <c r="O7" s="46"/>
      <c r="P7" s="46" t="s">
        <v>269</v>
      </c>
    </row>
    <row r="8" spans="1:16" ht="15" customHeight="1" x14ac:dyDescent="0.35">
      <c r="A8" s="46" t="s">
        <v>271</v>
      </c>
      <c r="B8" s="46" t="s">
        <v>272</v>
      </c>
      <c r="C8" s="46" t="s">
        <v>217</v>
      </c>
      <c r="D8" s="46" t="s">
        <v>273</v>
      </c>
      <c r="E8" s="46" t="s">
        <v>251</v>
      </c>
      <c r="F8" s="46" t="s">
        <v>274</v>
      </c>
      <c r="G8" s="46" t="s">
        <v>777</v>
      </c>
      <c r="H8" s="46" t="s">
        <v>15</v>
      </c>
      <c r="I8" s="46" t="s">
        <v>276</v>
      </c>
      <c r="J8" s="55">
        <v>45758</v>
      </c>
      <c r="K8" s="55">
        <v>46294</v>
      </c>
      <c r="L8" s="55">
        <v>46316</v>
      </c>
      <c r="M8" s="46"/>
      <c r="N8" s="46" t="s">
        <v>73</v>
      </c>
      <c r="O8" s="46" t="s">
        <v>277</v>
      </c>
      <c r="P8" s="46" t="s">
        <v>255</v>
      </c>
    </row>
    <row r="9" spans="1:16" ht="15" customHeight="1" x14ac:dyDescent="0.35">
      <c r="A9" s="46" t="s">
        <v>279</v>
      </c>
      <c r="B9" s="46" t="s">
        <v>280</v>
      </c>
      <c r="C9" s="46" t="s">
        <v>217</v>
      </c>
      <c r="D9" s="46" t="s">
        <v>281</v>
      </c>
      <c r="E9" s="46" t="s">
        <v>251</v>
      </c>
      <c r="F9" s="46" t="s">
        <v>282</v>
      </c>
      <c r="G9" s="46" t="s">
        <v>778</v>
      </c>
      <c r="H9" s="46" t="s">
        <v>284</v>
      </c>
      <c r="I9" s="46" t="s">
        <v>276</v>
      </c>
      <c r="J9" s="55">
        <v>46204</v>
      </c>
      <c r="K9" s="55">
        <v>46280</v>
      </c>
      <c r="L9" s="46"/>
      <c r="M9" s="46"/>
      <c r="N9" s="46"/>
      <c r="O9" s="46" t="s">
        <v>263</v>
      </c>
      <c r="P9" s="46" t="s">
        <v>285</v>
      </c>
    </row>
    <row r="10" spans="1:16" ht="15" customHeight="1" x14ac:dyDescent="0.35">
      <c r="A10" s="46" t="s">
        <v>287</v>
      </c>
      <c r="B10" s="46" t="s">
        <v>288</v>
      </c>
      <c r="C10" s="46" t="s">
        <v>217</v>
      </c>
      <c r="D10" s="46" t="s">
        <v>289</v>
      </c>
      <c r="E10" s="46" t="s">
        <v>290</v>
      </c>
      <c r="F10" s="46"/>
      <c r="G10" s="46" t="s">
        <v>779</v>
      </c>
      <c r="H10" s="46" t="s">
        <v>776</v>
      </c>
      <c r="I10" s="46"/>
      <c r="J10" s="46"/>
      <c r="K10" s="46"/>
      <c r="L10" s="46"/>
      <c r="M10" s="46">
        <v>0</v>
      </c>
      <c r="N10" s="46"/>
      <c r="O10" s="46"/>
      <c r="P10" s="46" t="s">
        <v>226</v>
      </c>
    </row>
    <row r="11" spans="1:16" ht="15" customHeight="1" x14ac:dyDescent="0.35">
      <c r="A11" s="46" t="s">
        <v>295</v>
      </c>
      <c r="B11" s="46" t="s">
        <v>296</v>
      </c>
      <c r="C11" s="46" t="s">
        <v>217</v>
      </c>
      <c r="D11" s="46" t="s">
        <v>297</v>
      </c>
      <c r="E11" s="46" t="s">
        <v>231</v>
      </c>
      <c r="F11" s="46" t="s">
        <v>298</v>
      </c>
      <c r="G11" s="46" t="s">
        <v>299</v>
      </c>
      <c r="H11" s="46" t="s">
        <v>700</v>
      </c>
      <c r="I11" s="46" t="s">
        <v>254</v>
      </c>
      <c r="J11" s="55">
        <v>46005</v>
      </c>
      <c r="K11" s="46"/>
      <c r="L11" s="46"/>
      <c r="M11" s="46">
        <v>2</v>
      </c>
      <c r="N11" s="46" t="s">
        <v>73</v>
      </c>
      <c r="O11" s="46" t="s">
        <v>277</v>
      </c>
      <c r="P11" s="46" t="s">
        <v>300</v>
      </c>
    </row>
    <row r="12" spans="1:16" ht="15" customHeight="1" x14ac:dyDescent="0.35">
      <c r="A12" s="46" t="s">
        <v>302</v>
      </c>
      <c r="B12" s="46" t="s">
        <v>303</v>
      </c>
      <c r="C12" s="46" t="s">
        <v>217</v>
      </c>
      <c r="D12" s="46" t="s">
        <v>304</v>
      </c>
      <c r="E12" s="46" t="s">
        <v>290</v>
      </c>
      <c r="F12" s="46" t="s">
        <v>305</v>
      </c>
      <c r="G12" s="46" t="s">
        <v>306</v>
      </c>
      <c r="H12" s="46" t="s">
        <v>243</v>
      </c>
      <c r="I12" s="46" t="s">
        <v>235</v>
      </c>
      <c r="J12" s="46" t="s">
        <v>780</v>
      </c>
      <c r="K12" s="55">
        <v>46233</v>
      </c>
      <c r="L12" s="55">
        <v>46310</v>
      </c>
      <c r="M12" s="46">
        <v>2</v>
      </c>
      <c r="N12" s="46" t="s">
        <v>78</v>
      </c>
      <c r="O12" s="46" t="s">
        <v>197</v>
      </c>
      <c r="P12" s="46" t="s">
        <v>307</v>
      </c>
    </row>
    <row r="13" spans="1:16" ht="15" customHeight="1" x14ac:dyDescent="0.35">
      <c r="A13" s="46" t="s">
        <v>309</v>
      </c>
      <c r="B13" s="46" t="s">
        <v>310</v>
      </c>
      <c r="C13" s="46" t="s">
        <v>217</v>
      </c>
      <c r="D13" s="46" t="s">
        <v>311</v>
      </c>
      <c r="E13" s="46" t="s">
        <v>312</v>
      </c>
      <c r="F13" s="46" t="s">
        <v>313</v>
      </c>
      <c r="G13" s="46" t="s">
        <v>781</v>
      </c>
      <c r="H13" s="46" t="s">
        <v>284</v>
      </c>
      <c r="I13" s="46" t="s">
        <v>254</v>
      </c>
      <c r="J13" s="55">
        <v>46096</v>
      </c>
      <c r="K13" s="55">
        <v>46195</v>
      </c>
      <c r="L13" s="55">
        <v>46215</v>
      </c>
      <c r="M13" s="46">
        <v>6</v>
      </c>
      <c r="N13" s="46" t="s">
        <v>73</v>
      </c>
      <c r="O13" s="46" t="s">
        <v>197</v>
      </c>
      <c r="P13" s="46" t="s">
        <v>315</v>
      </c>
    </row>
    <row r="14" spans="1:16" ht="15" customHeight="1" x14ac:dyDescent="0.35">
      <c r="A14" s="46" t="s">
        <v>316</v>
      </c>
      <c r="B14" s="46" t="s">
        <v>317</v>
      </c>
      <c r="C14" s="46" t="s">
        <v>217</v>
      </c>
      <c r="D14" s="46" t="s">
        <v>318</v>
      </c>
      <c r="E14" s="46" t="s">
        <v>312</v>
      </c>
      <c r="F14" s="46" t="s">
        <v>319</v>
      </c>
      <c r="G14" s="46" t="s">
        <v>782</v>
      </c>
      <c r="H14" s="46" t="s">
        <v>261</v>
      </c>
      <c r="I14" s="46" t="s">
        <v>321</v>
      </c>
      <c r="J14" s="55">
        <v>45696</v>
      </c>
      <c r="K14" s="55">
        <v>46289</v>
      </c>
      <c r="L14" s="55">
        <v>46321</v>
      </c>
      <c r="M14" s="46">
        <v>5</v>
      </c>
      <c r="N14" s="46" t="s">
        <v>73</v>
      </c>
      <c r="O14" s="46" t="s">
        <v>197</v>
      </c>
      <c r="P14" s="46" t="s">
        <v>264</v>
      </c>
    </row>
    <row r="15" spans="1:16" ht="15" customHeight="1" x14ac:dyDescent="0.35">
      <c r="A15" s="46" t="s">
        <v>159</v>
      </c>
      <c r="B15" s="46" t="s">
        <v>322</v>
      </c>
      <c r="C15" s="46" t="s">
        <v>217</v>
      </c>
      <c r="D15" s="46" t="s">
        <v>323</v>
      </c>
      <c r="E15" s="46" t="s">
        <v>324</v>
      </c>
      <c r="F15" s="46" t="s">
        <v>325</v>
      </c>
      <c r="G15" s="46" t="s">
        <v>783</v>
      </c>
      <c r="H15" s="46" t="s">
        <v>284</v>
      </c>
      <c r="I15" s="46" t="s">
        <v>254</v>
      </c>
      <c r="J15" s="55">
        <v>45917</v>
      </c>
      <c r="K15" s="55">
        <v>46383</v>
      </c>
      <c r="L15" s="46"/>
      <c r="M15" s="46">
        <v>8</v>
      </c>
      <c r="N15" s="46" t="s">
        <v>73</v>
      </c>
      <c r="O15" s="46" t="s">
        <v>245</v>
      </c>
      <c r="P15" s="46" t="s">
        <v>315</v>
      </c>
    </row>
    <row r="16" spans="1:16" ht="15" customHeight="1" x14ac:dyDescent="0.35">
      <c r="A16" s="46" t="s">
        <v>328</v>
      </c>
      <c r="B16" s="46" t="s">
        <v>329</v>
      </c>
      <c r="C16" s="46" t="s">
        <v>784</v>
      </c>
      <c r="D16" s="46" t="s">
        <v>330</v>
      </c>
      <c r="E16" s="46" t="s">
        <v>219</v>
      </c>
      <c r="F16" s="46" t="s">
        <v>331</v>
      </c>
      <c r="G16" s="46" t="s">
        <v>332</v>
      </c>
      <c r="H16" s="46" t="s">
        <v>261</v>
      </c>
      <c r="I16" s="46" t="s">
        <v>321</v>
      </c>
      <c r="J16" s="55">
        <v>45729</v>
      </c>
      <c r="K16" s="55">
        <v>46269</v>
      </c>
      <c r="L16" s="55">
        <v>46323</v>
      </c>
      <c r="M16" s="46">
        <v>6</v>
      </c>
      <c r="N16" s="46" t="s">
        <v>64</v>
      </c>
      <c r="O16" s="46" t="s">
        <v>263</v>
      </c>
      <c r="P16" s="46" t="s">
        <v>333</v>
      </c>
    </row>
    <row r="17" spans="1:16" ht="15" customHeight="1" x14ac:dyDescent="0.35">
      <c r="A17" s="46" t="s">
        <v>335</v>
      </c>
      <c r="B17" s="46" t="s">
        <v>336</v>
      </c>
      <c r="C17" s="46" t="s">
        <v>217</v>
      </c>
      <c r="D17" s="46" t="s">
        <v>337</v>
      </c>
      <c r="E17" s="46" t="s">
        <v>338</v>
      </c>
      <c r="F17" s="46" t="s">
        <v>339</v>
      </c>
      <c r="G17" s="46"/>
      <c r="H17" s="46" t="s">
        <v>234</v>
      </c>
      <c r="I17" s="46" t="s">
        <v>321</v>
      </c>
      <c r="J17" s="55">
        <v>45829</v>
      </c>
      <c r="K17" s="55">
        <v>46299</v>
      </c>
      <c r="L17" s="46"/>
      <c r="M17" s="46">
        <v>2</v>
      </c>
      <c r="N17" s="46" t="s">
        <v>78</v>
      </c>
      <c r="O17" s="46" t="s">
        <v>263</v>
      </c>
      <c r="P17" s="46" t="s">
        <v>340</v>
      </c>
    </row>
    <row r="18" spans="1:16" ht="15" customHeight="1" x14ac:dyDescent="0.35">
      <c r="A18" s="46" t="s">
        <v>342</v>
      </c>
      <c r="B18" s="46" t="s">
        <v>343</v>
      </c>
      <c r="C18" s="46"/>
      <c r="D18" s="46" t="s">
        <v>344</v>
      </c>
      <c r="E18" s="46" t="s">
        <v>312</v>
      </c>
      <c r="F18" s="46" t="s">
        <v>345</v>
      </c>
      <c r="G18" s="46" t="s">
        <v>785</v>
      </c>
      <c r="H18" s="46" t="s">
        <v>223</v>
      </c>
      <c r="I18" s="46" t="s">
        <v>276</v>
      </c>
      <c r="J18" s="46"/>
      <c r="K18" s="46"/>
      <c r="L18" s="46"/>
      <c r="M18" s="46">
        <v>0</v>
      </c>
      <c r="N18" s="46"/>
      <c r="O18" s="46"/>
      <c r="P18" s="46" t="s">
        <v>226</v>
      </c>
    </row>
    <row r="19" spans="1:16" ht="15" customHeight="1" x14ac:dyDescent="0.35">
      <c r="A19" s="46" t="s">
        <v>152</v>
      </c>
      <c r="B19" s="46" t="s">
        <v>348</v>
      </c>
      <c r="C19" s="46" t="s">
        <v>217</v>
      </c>
      <c r="D19" s="46" t="s">
        <v>349</v>
      </c>
      <c r="E19" s="46" t="s">
        <v>338</v>
      </c>
      <c r="F19" s="46" t="s">
        <v>350</v>
      </c>
      <c r="G19" s="46" t="s">
        <v>786</v>
      </c>
      <c r="H19" s="46" t="s">
        <v>261</v>
      </c>
      <c r="I19" s="46" t="s">
        <v>254</v>
      </c>
      <c r="J19" s="55">
        <v>45681</v>
      </c>
      <c r="K19" s="55">
        <v>46087</v>
      </c>
      <c r="L19" s="55">
        <v>46128</v>
      </c>
      <c r="M19" s="46">
        <v>0</v>
      </c>
      <c r="N19" s="46" t="s">
        <v>73</v>
      </c>
      <c r="O19" s="46" t="s">
        <v>245</v>
      </c>
      <c r="P19" s="46" t="s">
        <v>352</v>
      </c>
    </row>
    <row r="20" spans="1:16" ht="15" customHeight="1" x14ac:dyDescent="0.35">
      <c r="A20" s="46" t="s">
        <v>354</v>
      </c>
      <c r="B20" s="46" t="s">
        <v>355</v>
      </c>
      <c r="C20" s="46" t="s">
        <v>784</v>
      </c>
      <c r="D20" s="46" t="s">
        <v>356</v>
      </c>
      <c r="E20" s="46" t="s">
        <v>338</v>
      </c>
      <c r="F20" s="46" t="s">
        <v>357</v>
      </c>
      <c r="G20" s="46" t="s">
        <v>358</v>
      </c>
      <c r="H20" s="46" t="s">
        <v>243</v>
      </c>
      <c r="I20" s="46" t="s">
        <v>262</v>
      </c>
      <c r="J20" s="55">
        <v>46168</v>
      </c>
      <c r="K20" s="55">
        <v>46273</v>
      </c>
      <c r="L20" s="55">
        <v>46379</v>
      </c>
      <c r="M20" s="46">
        <v>4</v>
      </c>
      <c r="N20" s="46" t="s">
        <v>78</v>
      </c>
      <c r="O20" s="46" t="s">
        <v>277</v>
      </c>
      <c r="P20" s="46" t="s">
        <v>246</v>
      </c>
    </row>
    <row r="21" spans="1:16" ht="15" customHeight="1" x14ac:dyDescent="0.35">
      <c r="A21" s="46" t="s">
        <v>359</v>
      </c>
      <c r="B21" s="46" t="s">
        <v>360</v>
      </c>
      <c r="C21" s="46" t="s">
        <v>217</v>
      </c>
      <c r="D21" s="46" t="s">
        <v>266</v>
      </c>
      <c r="E21" s="46" t="s">
        <v>324</v>
      </c>
      <c r="F21" s="46" t="s">
        <v>361</v>
      </c>
      <c r="G21" s="46" t="s">
        <v>787</v>
      </c>
      <c r="H21" s="46" t="s">
        <v>15</v>
      </c>
      <c r="I21" s="46" t="s">
        <v>224</v>
      </c>
      <c r="J21" s="55">
        <v>46002</v>
      </c>
      <c r="K21" s="55">
        <v>46083</v>
      </c>
      <c r="L21" s="55">
        <v>46122</v>
      </c>
      <c r="M21" s="46">
        <v>18</v>
      </c>
      <c r="N21" s="46" t="s">
        <v>64</v>
      </c>
      <c r="O21" s="46" t="s">
        <v>277</v>
      </c>
      <c r="P21" s="46" t="s">
        <v>255</v>
      </c>
    </row>
    <row r="22" spans="1:16" ht="15" customHeight="1" x14ac:dyDescent="0.35">
      <c r="A22" s="46" t="s">
        <v>363</v>
      </c>
      <c r="B22" s="46" t="s">
        <v>788</v>
      </c>
      <c r="C22" s="46"/>
      <c r="D22" s="46" t="s">
        <v>366</v>
      </c>
      <c r="E22" s="46" t="s">
        <v>219</v>
      </c>
      <c r="F22" s="46" t="s">
        <v>367</v>
      </c>
      <c r="G22" s="46" t="s">
        <v>789</v>
      </c>
      <c r="H22" s="46" t="s">
        <v>284</v>
      </c>
      <c r="I22" s="46" t="s">
        <v>254</v>
      </c>
      <c r="J22" s="55">
        <v>45820</v>
      </c>
      <c r="K22" s="55">
        <v>46252</v>
      </c>
      <c r="L22" s="55">
        <v>46280</v>
      </c>
      <c r="M22" s="46">
        <v>8</v>
      </c>
      <c r="N22" s="46" t="s">
        <v>73</v>
      </c>
      <c r="O22" s="46" t="s">
        <v>369</v>
      </c>
      <c r="P22" s="46" t="s">
        <v>315</v>
      </c>
    </row>
    <row r="23" spans="1:16" ht="15" customHeight="1" x14ac:dyDescent="0.35">
      <c r="A23" s="46" t="s">
        <v>154</v>
      </c>
      <c r="B23" s="46" t="s">
        <v>371</v>
      </c>
      <c r="C23" s="46" t="s">
        <v>365</v>
      </c>
      <c r="D23" s="46" t="s">
        <v>372</v>
      </c>
      <c r="E23" s="46" t="s">
        <v>290</v>
      </c>
      <c r="F23" s="46" t="s">
        <v>373</v>
      </c>
      <c r="G23" s="46" t="s">
        <v>374</v>
      </c>
      <c r="H23" s="46" t="s">
        <v>15</v>
      </c>
      <c r="I23" s="46" t="s">
        <v>276</v>
      </c>
      <c r="J23" s="55">
        <v>45945</v>
      </c>
      <c r="K23" s="55">
        <v>46253</v>
      </c>
      <c r="L23" s="55">
        <v>46275</v>
      </c>
      <c r="M23" s="46">
        <v>0</v>
      </c>
      <c r="N23" s="46"/>
      <c r="O23" s="46" t="s">
        <v>369</v>
      </c>
      <c r="P23" s="46" t="s">
        <v>375</v>
      </c>
    </row>
    <row r="24" spans="1:16" ht="15" customHeight="1" x14ac:dyDescent="0.35">
      <c r="A24" s="46" t="s">
        <v>377</v>
      </c>
      <c r="B24" s="46" t="s">
        <v>378</v>
      </c>
      <c r="C24" s="46" t="s">
        <v>365</v>
      </c>
      <c r="D24" s="46" t="s">
        <v>337</v>
      </c>
      <c r="E24" s="46" t="s">
        <v>290</v>
      </c>
      <c r="F24" s="46" t="s">
        <v>379</v>
      </c>
      <c r="G24" s="46" t="s">
        <v>790</v>
      </c>
      <c r="H24" s="46" t="s">
        <v>15</v>
      </c>
      <c r="I24" s="46" t="s">
        <v>276</v>
      </c>
      <c r="J24" s="55">
        <v>45769</v>
      </c>
      <c r="K24" s="55">
        <v>46292</v>
      </c>
      <c r="L24" s="55">
        <v>46335</v>
      </c>
      <c r="M24" s="46">
        <v>8</v>
      </c>
      <c r="N24" s="46" t="s">
        <v>64</v>
      </c>
      <c r="O24" s="46" t="s">
        <v>197</v>
      </c>
      <c r="P24" s="46" t="s">
        <v>381</v>
      </c>
    </row>
    <row r="25" spans="1:16" ht="15" customHeight="1" x14ac:dyDescent="0.35">
      <c r="A25" s="46" t="s">
        <v>382</v>
      </c>
      <c r="B25" s="46" t="s">
        <v>383</v>
      </c>
      <c r="C25" s="46" t="s">
        <v>365</v>
      </c>
      <c r="D25" s="46" t="s">
        <v>384</v>
      </c>
      <c r="E25" s="46" t="s">
        <v>251</v>
      </c>
      <c r="F25" s="46" t="s">
        <v>385</v>
      </c>
      <c r="G25" s="46" t="s">
        <v>791</v>
      </c>
      <c r="H25" s="46" t="s">
        <v>234</v>
      </c>
      <c r="I25" s="46"/>
      <c r="J25" s="55">
        <v>46172</v>
      </c>
      <c r="K25" s="55">
        <v>46173</v>
      </c>
      <c r="L25" s="55">
        <v>46228</v>
      </c>
      <c r="M25" s="46">
        <v>2</v>
      </c>
      <c r="N25" s="46" t="s">
        <v>73</v>
      </c>
      <c r="O25" s="46" t="s">
        <v>369</v>
      </c>
      <c r="P25" s="46" t="s">
        <v>236</v>
      </c>
    </row>
    <row r="26" spans="1:16" ht="15" customHeight="1" x14ac:dyDescent="0.35">
      <c r="A26" s="46" t="s">
        <v>388</v>
      </c>
      <c r="B26" s="46" t="s">
        <v>389</v>
      </c>
      <c r="C26" s="46" t="s">
        <v>365</v>
      </c>
      <c r="D26" s="46" t="s">
        <v>792</v>
      </c>
      <c r="E26" s="46" t="s">
        <v>251</v>
      </c>
      <c r="F26" s="46" t="s">
        <v>391</v>
      </c>
      <c r="G26" s="46" t="s">
        <v>793</v>
      </c>
      <c r="H26" s="46" t="s">
        <v>234</v>
      </c>
      <c r="I26" s="46" t="s">
        <v>235</v>
      </c>
      <c r="J26" s="55">
        <v>45997</v>
      </c>
      <c r="K26" s="55">
        <v>46246</v>
      </c>
      <c r="L26" s="55">
        <v>46271</v>
      </c>
      <c r="M26" s="46">
        <v>1</v>
      </c>
      <c r="N26" s="46" t="s">
        <v>73</v>
      </c>
      <c r="O26" s="46" t="s">
        <v>369</v>
      </c>
      <c r="P26" s="46" t="s">
        <v>340</v>
      </c>
    </row>
    <row r="27" spans="1:16" ht="15" customHeight="1" x14ac:dyDescent="0.35">
      <c r="A27" s="46" t="s">
        <v>178</v>
      </c>
      <c r="B27" s="46" t="s">
        <v>393</v>
      </c>
      <c r="C27" s="46" t="s">
        <v>365</v>
      </c>
      <c r="D27" s="46" t="s">
        <v>394</v>
      </c>
      <c r="E27" s="46" t="s">
        <v>219</v>
      </c>
      <c r="F27" s="46" t="s">
        <v>395</v>
      </c>
      <c r="G27" s="46" t="s">
        <v>794</v>
      </c>
      <c r="H27" s="46" t="s">
        <v>397</v>
      </c>
      <c r="I27" s="46" t="s">
        <v>321</v>
      </c>
      <c r="J27" s="55">
        <v>45811</v>
      </c>
      <c r="K27" s="55">
        <v>46216</v>
      </c>
      <c r="L27" s="46"/>
      <c r="M27" s="46">
        <v>2</v>
      </c>
      <c r="N27" s="46" t="s">
        <v>78</v>
      </c>
      <c r="O27" s="46" t="s">
        <v>197</v>
      </c>
      <c r="P27" s="46" t="s">
        <v>398</v>
      </c>
    </row>
    <row r="28" spans="1:16" ht="15" customHeight="1" x14ac:dyDescent="0.35">
      <c r="A28" s="46" t="s">
        <v>400</v>
      </c>
      <c r="B28" s="46" t="s">
        <v>401</v>
      </c>
      <c r="C28" s="46" t="s">
        <v>365</v>
      </c>
      <c r="D28" s="46" t="s">
        <v>402</v>
      </c>
      <c r="E28" s="46" t="s">
        <v>290</v>
      </c>
      <c r="F28" s="46" t="s">
        <v>403</v>
      </c>
      <c r="G28" s="46" t="s">
        <v>795</v>
      </c>
      <c r="H28" s="46" t="s">
        <v>15</v>
      </c>
      <c r="I28" s="46" t="s">
        <v>235</v>
      </c>
      <c r="J28" s="55">
        <v>46140</v>
      </c>
      <c r="K28" s="55">
        <v>46277</v>
      </c>
      <c r="L28" s="55">
        <v>46294</v>
      </c>
      <c r="M28" s="46">
        <v>12</v>
      </c>
      <c r="N28" s="46" t="s">
        <v>64</v>
      </c>
      <c r="O28" s="46" t="s">
        <v>277</v>
      </c>
      <c r="P28" s="46" t="s">
        <v>405</v>
      </c>
    </row>
    <row r="29" spans="1:16" ht="15" customHeight="1" x14ac:dyDescent="0.35">
      <c r="A29" s="46" t="s">
        <v>148</v>
      </c>
      <c r="B29" s="46" t="s">
        <v>406</v>
      </c>
      <c r="C29" s="46" t="s">
        <v>365</v>
      </c>
      <c r="D29" s="46" t="s">
        <v>407</v>
      </c>
      <c r="E29" s="46" t="s">
        <v>231</v>
      </c>
      <c r="F29" s="46" t="s">
        <v>408</v>
      </c>
      <c r="G29" s="46" t="s">
        <v>796</v>
      </c>
      <c r="H29" s="46" t="s">
        <v>223</v>
      </c>
      <c r="I29" s="46" t="s">
        <v>224</v>
      </c>
      <c r="J29" s="46"/>
      <c r="K29" s="55">
        <v>46199</v>
      </c>
      <c r="L29" s="46"/>
      <c r="M29" s="46">
        <v>1</v>
      </c>
      <c r="N29" s="46"/>
      <c r="O29" s="46"/>
      <c r="P29" s="46" t="s">
        <v>269</v>
      </c>
    </row>
    <row r="30" spans="1:16" ht="15" customHeight="1" x14ac:dyDescent="0.35">
      <c r="A30" s="46" t="s">
        <v>410</v>
      </c>
      <c r="B30" s="46" t="s">
        <v>411</v>
      </c>
      <c r="C30" s="46" t="s">
        <v>365</v>
      </c>
      <c r="D30" s="46" t="s">
        <v>412</v>
      </c>
      <c r="E30" s="46" t="s">
        <v>290</v>
      </c>
      <c r="F30" s="46" t="s">
        <v>413</v>
      </c>
      <c r="G30" s="46" t="s">
        <v>797</v>
      </c>
      <c r="H30" s="46" t="s">
        <v>261</v>
      </c>
      <c r="I30" s="46" t="s">
        <v>254</v>
      </c>
      <c r="J30" s="55">
        <v>46053</v>
      </c>
      <c r="K30" s="55">
        <v>46272</v>
      </c>
      <c r="L30" s="55">
        <v>46313</v>
      </c>
      <c r="M30" s="46">
        <v>6</v>
      </c>
      <c r="N30" s="46" t="s">
        <v>73</v>
      </c>
      <c r="O30" s="46" t="s">
        <v>197</v>
      </c>
      <c r="P30" s="46" t="s">
        <v>352</v>
      </c>
    </row>
    <row r="31" spans="1:16" ht="15" customHeight="1" x14ac:dyDescent="0.35">
      <c r="A31" s="46" t="s">
        <v>415</v>
      </c>
      <c r="B31" s="46" t="s">
        <v>416</v>
      </c>
      <c r="C31" s="46" t="s">
        <v>365</v>
      </c>
      <c r="D31" s="46" t="s">
        <v>417</v>
      </c>
      <c r="E31" s="46" t="s">
        <v>338</v>
      </c>
      <c r="F31" s="46" t="s">
        <v>418</v>
      </c>
      <c r="G31" s="46" t="s">
        <v>798</v>
      </c>
      <c r="H31" s="46" t="s">
        <v>799</v>
      </c>
      <c r="I31" s="46" t="s">
        <v>254</v>
      </c>
      <c r="J31" s="55">
        <v>46232</v>
      </c>
      <c r="K31" s="55">
        <v>46241</v>
      </c>
      <c r="L31" s="55">
        <v>46348</v>
      </c>
      <c r="M31" s="46">
        <v>6</v>
      </c>
      <c r="N31" s="46" t="s">
        <v>78</v>
      </c>
      <c r="O31" s="46" t="s">
        <v>277</v>
      </c>
      <c r="P31" s="46" t="s">
        <v>420</v>
      </c>
    </row>
    <row r="32" spans="1:16" ht="15" customHeight="1" x14ac:dyDescent="0.35">
      <c r="A32" s="46" t="s">
        <v>422</v>
      </c>
      <c r="B32" s="46" t="s">
        <v>423</v>
      </c>
      <c r="C32" s="46" t="s">
        <v>365</v>
      </c>
      <c r="D32" s="46" t="s">
        <v>424</v>
      </c>
      <c r="E32" s="46" t="s">
        <v>324</v>
      </c>
      <c r="F32" s="46" t="s">
        <v>425</v>
      </c>
      <c r="G32" s="46" t="s">
        <v>800</v>
      </c>
      <c r="H32" s="46" t="s">
        <v>284</v>
      </c>
      <c r="I32" s="46" t="s">
        <v>235</v>
      </c>
      <c r="J32" s="55">
        <v>46210</v>
      </c>
      <c r="K32" s="55">
        <v>46218</v>
      </c>
      <c r="L32" s="55">
        <v>46250</v>
      </c>
      <c r="M32" s="46">
        <v>8</v>
      </c>
      <c r="N32" s="46"/>
      <c r="O32" s="46" t="s">
        <v>245</v>
      </c>
      <c r="P32" s="46" t="s">
        <v>427</v>
      </c>
    </row>
    <row r="33" spans="1:16" ht="15" customHeight="1" x14ac:dyDescent="0.35">
      <c r="A33" s="46" t="s">
        <v>429</v>
      </c>
      <c r="B33" s="46" t="s">
        <v>430</v>
      </c>
      <c r="C33" s="46" t="s">
        <v>365</v>
      </c>
      <c r="D33" s="46" t="s">
        <v>431</v>
      </c>
      <c r="E33" s="46" t="s">
        <v>312</v>
      </c>
      <c r="F33" s="46" t="s">
        <v>432</v>
      </c>
      <c r="G33" s="46" t="s">
        <v>433</v>
      </c>
      <c r="H33" s="46" t="s">
        <v>261</v>
      </c>
      <c r="I33" s="46" t="s">
        <v>321</v>
      </c>
      <c r="J33" s="55">
        <v>46205</v>
      </c>
      <c r="K33" s="46"/>
      <c r="L33" s="55">
        <v>46307</v>
      </c>
      <c r="M33" s="46">
        <v>5</v>
      </c>
      <c r="N33" s="46" t="s">
        <v>73</v>
      </c>
      <c r="O33" s="46" t="s">
        <v>245</v>
      </c>
      <c r="P33" s="46" t="s">
        <v>434</v>
      </c>
    </row>
    <row r="34" spans="1:16" ht="15" customHeight="1" x14ac:dyDescent="0.35">
      <c r="A34" s="46" t="s">
        <v>435</v>
      </c>
      <c r="B34" s="46" t="s">
        <v>436</v>
      </c>
      <c r="C34" s="46" t="s">
        <v>365</v>
      </c>
      <c r="D34" s="46" t="s">
        <v>437</v>
      </c>
      <c r="E34" s="46" t="s">
        <v>312</v>
      </c>
      <c r="F34" s="46" t="s">
        <v>438</v>
      </c>
      <c r="G34" s="46" t="s">
        <v>801</v>
      </c>
      <c r="H34" s="46" t="s">
        <v>802</v>
      </c>
      <c r="I34" s="46" t="s">
        <v>254</v>
      </c>
      <c r="J34" s="55">
        <v>46065</v>
      </c>
      <c r="K34" s="55">
        <v>46236</v>
      </c>
      <c r="L34" s="46" t="s">
        <v>803</v>
      </c>
      <c r="M34" s="46">
        <v>5</v>
      </c>
      <c r="N34" s="46" t="s">
        <v>73</v>
      </c>
      <c r="O34" s="46" t="s">
        <v>369</v>
      </c>
      <c r="P34" s="46" t="s">
        <v>352</v>
      </c>
    </row>
    <row r="35" spans="1:16" ht="15" customHeight="1" x14ac:dyDescent="0.35">
      <c r="A35" s="46" t="s">
        <v>441</v>
      </c>
      <c r="B35" s="46" t="s">
        <v>442</v>
      </c>
      <c r="C35" s="46" t="s">
        <v>365</v>
      </c>
      <c r="D35" s="46" t="s">
        <v>443</v>
      </c>
      <c r="E35" s="46" t="s">
        <v>219</v>
      </c>
      <c r="F35" s="46" t="s">
        <v>444</v>
      </c>
      <c r="G35" s="46" t="s">
        <v>804</v>
      </c>
      <c r="H35" s="46" t="s">
        <v>261</v>
      </c>
      <c r="I35" s="46"/>
      <c r="J35" s="55">
        <v>46097</v>
      </c>
      <c r="K35" s="55">
        <v>46299</v>
      </c>
      <c r="L35" s="55">
        <v>46328</v>
      </c>
      <c r="M35" s="46">
        <v>3</v>
      </c>
      <c r="N35" s="46" t="s">
        <v>78</v>
      </c>
      <c r="O35" s="46" t="s">
        <v>197</v>
      </c>
      <c r="P35" s="46" t="s">
        <v>375</v>
      </c>
    </row>
    <row r="36" spans="1:16" ht="15" customHeight="1" x14ac:dyDescent="0.35">
      <c r="A36" s="46" t="s">
        <v>446</v>
      </c>
      <c r="B36" s="46" t="s">
        <v>447</v>
      </c>
      <c r="C36" s="46" t="s">
        <v>448</v>
      </c>
      <c r="D36" s="46" t="s">
        <v>449</v>
      </c>
      <c r="E36" s="46" t="s">
        <v>290</v>
      </c>
      <c r="F36" s="46" t="s">
        <v>450</v>
      </c>
      <c r="G36" s="46" t="s">
        <v>805</v>
      </c>
      <c r="H36" s="46" t="s">
        <v>806</v>
      </c>
      <c r="I36" s="46" t="s">
        <v>321</v>
      </c>
      <c r="J36" s="55">
        <v>45720</v>
      </c>
      <c r="K36" s="55">
        <v>46294</v>
      </c>
      <c r="L36" s="55">
        <v>46395</v>
      </c>
      <c r="M36" s="46">
        <v>4</v>
      </c>
      <c r="N36" s="46" t="s">
        <v>78</v>
      </c>
      <c r="O36" s="46" t="s">
        <v>197</v>
      </c>
      <c r="P36" s="46" t="s">
        <v>246</v>
      </c>
    </row>
    <row r="37" spans="1:16" ht="15" customHeight="1" x14ac:dyDescent="0.35">
      <c r="A37" s="46" t="s">
        <v>452</v>
      </c>
      <c r="B37" s="46" t="s">
        <v>453</v>
      </c>
      <c r="C37" s="46" t="s">
        <v>807</v>
      </c>
      <c r="D37" s="46" t="s">
        <v>454</v>
      </c>
      <c r="E37" s="46" t="s">
        <v>312</v>
      </c>
      <c r="F37" s="46" t="s">
        <v>455</v>
      </c>
      <c r="G37" s="46" t="s">
        <v>808</v>
      </c>
      <c r="H37" s="46" t="s">
        <v>284</v>
      </c>
      <c r="I37" s="46" t="s">
        <v>276</v>
      </c>
      <c r="J37" s="55">
        <v>45687</v>
      </c>
      <c r="K37" s="55">
        <v>46282</v>
      </c>
      <c r="L37" s="55">
        <v>46301</v>
      </c>
      <c r="M37" s="46">
        <v>8</v>
      </c>
      <c r="N37" s="46" t="s">
        <v>64</v>
      </c>
      <c r="O37" s="46" t="s">
        <v>263</v>
      </c>
      <c r="P37" s="46" t="s">
        <v>285</v>
      </c>
    </row>
    <row r="38" spans="1:16" ht="15" customHeight="1" x14ac:dyDescent="0.35">
      <c r="A38" s="46" t="s">
        <v>457</v>
      </c>
      <c r="B38" s="46" t="s">
        <v>458</v>
      </c>
      <c r="C38" s="46" t="s">
        <v>448</v>
      </c>
      <c r="D38" s="46" t="s">
        <v>459</v>
      </c>
      <c r="E38" s="46" t="s">
        <v>338</v>
      </c>
      <c r="F38" s="46" t="s">
        <v>460</v>
      </c>
      <c r="G38" s="46" t="s">
        <v>809</v>
      </c>
      <c r="H38" s="46" t="s">
        <v>15</v>
      </c>
      <c r="I38" s="46" t="s">
        <v>254</v>
      </c>
      <c r="J38" s="55">
        <v>45814</v>
      </c>
      <c r="K38" s="55">
        <v>46287</v>
      </c>
      <c r="L38" s="55">
        <v>46306</v>
      </c>
      <c r="M38" s="46">
        <v>16</v>
      </c>
      <c r="N38" s="46" t="s">
        <v>64</v>
      </c>
      <c r="O38" s="46" t="s">
        <v>369</v>
      </c>
      <c r="P38" s="46" t="s">
        <v>381</v>
      </c>
    </row>
    <row r="39" spans="1:16" ht="15" customHeight="1" x14ac:dyDescent="0.35">
      <c r="A39" s="46" t="s">
        <v>162</v>
      </c>
      <c r="B39" s="46" t="s">
        <v>462</v>
      </c>
      <c r="C39" s="46" t="s">
        <v>448</v>
      </c>
      <c r="D39" s="46" t="s">
        <v>463</v>
      </c>
      <c r="E39" s="46" t="s">
        <v>290</v>
      </c>
      <c r="F39" s="46" t="s">
        <v>464</v>
      </c>
      <c r="G39" s="46" t="s">
        <v>465</v>
      </c>
      <c r="H39" s="46" t="s">
        <v>234</v>
      </c>
      <c r="I39" s="46" t="s">
        <v>276</v>
      </c>
      <c r="J39" s="55">
        <v>45771</v>
      </c>
      <c r="K39" s="55">
        <v>46332</v>
      </c>
      <c r="L39" s="55">
        <v>46308</v>
      </c>
      <c r="M39" s="46">
        <v>2</v>
      </c>
      <c r="N39" s="46" t="s">
        <v>78</v>
      </c>
      <c r="O39" s="46" t="s">
        <v>263</v>
      </c>
      <c r="P39" s="46" t="s">
        <v>340</v>
      </c>
    </row>
    <row r="40" spans="1:16" ht="15" customHeight="1" x14ac:dyDescent="0.35">
      <c r="A40" s="46" t="s">
        <v>467</v>
      </c>
      <c r="B40" s="46" t="s">
        <v>468</v>
      </c>
      <c r="C40" s="46" t="s">
        <v>448</v>
      </c>
      <c r="D40" s="46" t="s">
        <v>356</v>
      </c>
      <c r="E40" s="46" t="s">
        <v>324</v>
      </c>
      <c r="F40" s="46" t="s">
        <v>469</v>
      </c>
      <c r="G40" s="46" t="s">
        <v>810</v>
      </c>
      <c r="H40" s="46" t="s">
        <v>261</v>
      </c>
      <c r="I40" s="46"/>
      <c r="J40" s="55">
        <v>45928</v>
      </c>
      <c r="K40" s="55">
        <v>46280</v>
      </c>
      <c r="L40" s="55">
        <v>46320</v>
      </c>
      <c r="M40" s="46">
        <v>5</v>
      </c>
      <c r="N40" s="46"/>
      <c r="O40" s="46" t="s">
        <v>369</v>
      </c>
      <c r="P40" s="46" t="s">
        <v>333</v>
      </c>
    </row>
    <row r="41" spans="1:16" ht="15" customHeight="1" x14ac:dyDescent="0.35">
      <c r="A41" s="46" t="s">
        <v>472</v>
      </c>
      <c r="B41" s="46" t="s">
        <v>473</v>
      </c>
      <c r="C41" s="46" t="s">
        <v>448</v>
      </c>
      <c r="D41" s="46" t="s">
        <v>463</v>
      </c>
      <c r="E41" s="46" t="s">
        <v>324</v>
      </c>
      <c r="F41" s="46" t="s">
        <v>474</v>
      </c>
      <c r="G41" s="46" t="s">
        <v>475</v>
      </c>
      <c r="H41" s="46" t="s">
        <v>811</v>
      </c>
      <c r="I41" s="46" t="s">
        <v>276</v>
      </c>
      <c r="J41" s="55">
        <v>46227</v>
      </c>
      <c r="K41" s="55">
        <v>46245</v>
      </c>
      <c r="L41" s="46"/>
      <c r="M41" s="46">
        <v>20</v>
      </c>
      <c r="N41" s="46" t="s">
        <v>64</v>
      </c>
      <c r="O41" s="46" t="s">
        <v>197</v>
      </c>
      <c r="P41" s="46" t="s">
        <v>255</v>
      </c>
    </row>
    <row r="42" spans="1:16" ht="15" customHeight="1" x14ac:dyDescent="0.35">
      <c r="A42" s="46" t="s">
        <v>476</v>
      </c>
      <c r="B42" s="46" t="s">
        <v>477</v>
      </c>
      <c r="C42" s="46" t="s">
        <v>448</v>
      </c>
      <c r="D42" s="46" t="s">
        <v>402</v>
      </c>
      <c r="E42" s="46" t="s">
        <v>231</v>
      </c>
      <c r="F42" s="46" t="s">
        <v>478</v>
      </c>
      <c r="G42" s="46" t="s">
        <v>812</v>
      </c>
      <c r="H42" s="46" t="s">
        <v>806</v>
      </c>
      <c r="I42" s="46" t="s">
        <v>224</v>
      </c>
      <c r="J42" s="55">
        <v>46095</v>
      </c>
      <c r="K42" s="55">
        <v>46277</v>
      </c>
      <c r="L42" s="55">
        <v>46377</v>
      </c>
      <c r="M42" s="46">
        <v>6</v>
      </c>
      <c r="N42" s="46"/>
      <c r="O42" s="46" t="s">
        <v>245</v>
      </c>
      <c r="P42" s="46" t="s">
        <v>246</v>
      </c>
    </row>
    <row r="43" spans="1:16" ht="15" customHeight="1" x14ac:dyDescent="0.35">
      <c r="A43" s="46" t="s">
        <v>481</v>
      </c>
      <c r="B43" s="46" t="s">
        <v>482</v>
      </c>
      <c r="C43" s="46" t="s">
        <v>448</v>
      </c>
      <c r="D43" s="46" t="s">
        <v>483</v>
      </c>
      <c r="E43" s="46" t="s">
        <v>338</v>
      </c>
      <c r="F43" s="46" t="s">
        <v>484</v>
      </c>
      <c r="G43" s="46" t="s">
        <v>485</v>
      </c>
      <c r="H43" s="46" t="s">
        <v>261</v>
      </c>
      <c r="I43" s="46" t="s">
        <v>254</v>
      </c>
      <c r="J43" s="55">
        <v>46156</v>
      </c>
      <c r="K43" s="46" t="s">
        <v>813</v>
      </c>
      <c r="L43" s="55">
        <v>46210</v>
      </c>
      <c r="M43" s="46">
        <v>5</v>
      </c>
      <c r="N43" s="46" t="s">
        <v>73</v>
      </c>
      <c r="O43" s="46" t="s">
        <v>245</v>
      </c>
      <c r="P43" s="46" t="s">
        <v>264</v>
      </c>
    </row>
    <row r="44" spans="1:16" ht="15" customHeight="1" x14ac:dyDescent="0.35">
      <c r="A44" s="46" t="s">
        <v>486</v>
      </c>
      <c r="B44" s="46" t="s">
        <v>487</v>
      </c>
      <c r="C44" s="46"/>
      <c r="D44" s="46" t="s">
        <v>488</v>
      </c>
      <c r="E44" s="46" t="s">
        <v>312</v>
      </c>
      <c r="F44" s="46" t="s">
        <v>489</v>
      </c>
      <c r="G44" s="46" t="s">
        <v>814</v>
      </c>
      <c r="H44" s="46" t="s">
        <v>243</v>
      </c>
      <c r="I44" s="46" t="s">
        <v>321</v>
      </c>
      <c r="J44" s="55">
        <v>45867</v>
      </c>
      <c r="K44" s="55">
        <v>46068</v>
      </c>
      <c r="L44" s="55">
        <v>46183</v>
      </c>
      <c r="M44" s="46">
        <v>2</v>
      </c>
      <c r="N44" s="46" t="s">
        <v>78</v>
      </c>
      <c r="O44" s="46" t="s">
        <v>197</v>
      </c>
      <c r="P44" s="46" t="s">
        <v>420</v>
      </c>
    </row>
    <row r="45" spans="1:16" ht="15" customHeight="1" x14ac:dyDescent="0.35">
      <c r="A45" s="46" t="s">
        <v>491</v>
      </c>
      <c r="B45" s="46" t="s">
        <v>492</v>
      </c>
      <c r="C45" s="46" t="s">
        <v>448</v>
      </c>
      <c r="D45" s="46" t="s">
        <v>493</v>
      </c>
      <c r="E45" s="46" t="s">
        <v>324</v>
      </c>
      <c r="F45" s="46" t="s">
        <v>494</v>
      </c>
      <c r="G45" s="46" t="s">
        <v>815</v>
      </c>
      <c r="H45" s="46" t="s">
        <v>397</v>
      </c>
      <c r="I45" s="46" t="s">
        <v>235</v>
      </c>
      <c r="J45" s="55">
        <v>45772</v>
      </c>
      <c r="K45" s="55">
        <v>46105</v>
      </c>
      <c r="L45" s="46"/>
      <c r="M45" s="46">
        <v>2</v>
      </c>
      <c r="N45" s="46" t="s">
        <v>78</v>
      </c>
      <c r="O45" s="46" t="s">
        <v>369</v>
      </c>
      <c r="P45" s="46" t="s">
        <v>495</v>
      </c>
    </row>
    <row r="46" spans="1:16" ht="15" customHeight="1" x14ac:dyDescent="0.35">
      <c r="A46" s="46" t="s">
        <v>496</v>
      </c>
      <c r="B46" s="46" t="s">
        <v>497</v>
      </c>
      <c r="C46" s="46" t="s">
        <v>498</v>
      </c>
      <c r="D46" s="46" t="s">
        <v>499</v>
      </c>
      <c r="E46" s="46" t="s">
        <v>324</v>
      </c>
      <c r="F46" s="46" t="s">
        <v>500</v>
      </c>
      <c r="G46" s="46" t="s">
        <v>816</v>
      </c>
      <c r="H46" s="46" t="s">
        <v>15</v>
      </c>
      <c r="I46" s="46" t="s">
        <v>224</v>
      </c>
      <c r="J46" s="55">
        <v>45911</v>
      </c>
      <c r="K46" s="55">
        <v>46231</v>
      </c>
      <c r="L46" s="55">
        <v>46278</v>
      </c>
      <c r="M46" s="46">
        <v>10</v>
      </c>
      <c r="N46" s="46" t="s">
        <v>64</v>
      </c>
      <c r="O46" s="46" t="s">
        <v>197</v>
      </c>
      <c r="P46" s="46" t="s">
        <v>255</v>
      </c>
    </row>
    <row r="47" spans="1:16" ht="15" customHeight="1" x14ac:dyDescent="0.35">
      <c r="A47" s="46" t="s">
        <v>168</v>
      </c>
      <c r="B47" s="46" t="s">
        <v>502</v>
      </c>
      <c r="C47" s="46" t="s">
        <v>448</v>
      </c>
      <c r="D47" s="46" t="s">
        <v>503</v>
      </c>
      <c r="E47" s="46" t="s">
        <v>312</v>
      </c>
      <c r="F47" s="46" t="s">
        <v>504</v>
      </c>
      <c r="G47" s="46" t="s">
        <v>817</v>
      </c>
      <c r="H47" s="46" t="s">
        <v>397</v>
      </c>
      <c r="I47" s="46" t="s">
        <v>276</v>
      </c>
      <c r="J47" s="55">
        <v>46235</v>
      </c>
      <c r="K47" s="55">
        <v>46017</v>
      </c>
      <c r="L47" s="46"/>
      <c r="M47" s="46"/>
      <c r="N47" s="46" t="s">
        <v>78</v>
      </c>
      <c r="O47" s="46" t="s">
        <v>263</v>
      </c>
      <c r="P47" s="46" t="s">
        <v>495</v>
      </c>
    </row>
    <row r="48" spans="1:16" ht="15" customHeight="1" x14ac:dyDescent="0.35">
      <c r="A48" s="46" t="s">
        <v>156</v>
      </c>
      <c r="B48" s="46" t="s">
        <v>507</v>
      </c>
      <c r="C48" s="46" t="s">
        <v>448</v>
      </c>
      <c r="D48" s="46" t="s">
        <v>266</v>
      </c>
      <c r="E48" s="46" t="s">
        <v>312</v>
      </c>
      <c r="F48" s="46" t="s">
        <v>508</v>
      </c>
      <c r="G48" s="46" t="s">
        <v>818</v>
      </c>
      <c r="H48" s="46" t="s">
        <v>15</v>
      </c>
      <c r="I48" s="46" t="s">
        <v>235</v>
      </c>
      <c r="J48" s="55">
        <v>46149</v>
      </c>
      <c r="K48" s="46"/>
      <c r="L48" s="55">
        <v>46358</v>
      </c>
      <c r="M48" s="46">
        <v>0</v>
      </c>
      <c r="N48" s="46" t="s">
        <v>64</v>
      </c>
      <c r="O48" s="46" t="s">
        <v>263</v>
      </c>
      <c r="P48" s="46" t="s">
        <v>510</v>
      </c>
    </row>
    <row r="49" spans="1:16" ht="15" customHeight="1" x14ac:dyDescent="0.35">
      <c r="A49" s="46" t="s">
        <v>511</v>
      </c>
      <c r="B49" s="46" t="s">
        <v>512</v>
      </c>
      <c r="C49" s="46" t="s">
        <v>217</v>
      </c>
      <c r="D49" s="46" t="s">
        <v>513</v>
      </c>
      <c r="E49" s="46" t="s">
        <v>290</v>
      </c>
      <c r="F49" s="46"/>
      <c r="G49" s="46" t="s">
        <v>819</v>
      </c>
      <c r="H49" s="46" t="s">
        <v>234</v>
      </c>
      <c r="I49" s="46" t="s">
        <v>224</v>
      </c>
      <c r="J49" s="55">
        <v>45968</v>
      </c>
      <c r="K49" s="55">
        <v>46272</v>
      </c>
      <c r="L49" s="55">
        <v>46312</v>
      </c>
      <c r="M49" s="46">
        <v>1</v>
      </c>
      <c r="N49" s="46" t="s">
        <v>73</v>
      </c>
      <c r="O49" s="46" t="s">
        <v>245</v>
      </c>
      <c r="P49" s="46" t="s">
        <v>515</v>
      </c>
    </row>
    <row r="50" spans="1:16" ht="15" customHeight="1" x14ac:dyDescent="0.35">
      <c r="A50" s="46" t="s">
        <v>517</v>
      </c>
      <c r="B50" s="46" t="s">
        <v>518</v>
      </c>
      <c r="C50" s="46" t="s">
        <v>498</v>
      </c>
      <c r="D50" s="46" t="s">
        <v>519</v>
      </c>
      <c r="E50" s="46" t="s">
        <v>338</v>
      </c>
      <c r="F50" s="46" t="s">
        <v>520</v>
      </c>
      <c r="G50" s="46" t="s">
        <v>521</v>
      </c>
      <c r="H50" s="46" t="s">
        <v>243</v>
      </c>
      <c r="I50" s="46" t="s">
        <v>235</v>
      </c>
      <c r="J50" s="55">
        <v>46221</v>
      </c>
      <c r="K50" s="55">
        <v>46287</v>
      </c>
      <c r="L50" s="55">
        <v>46392</v>
      </c>
      <c r="M50" s="46"/>
      <c r="N50" s="46" t="s">
        <v>78</v>
      </c>
      <c r="O50" s="46" t="s">
        <v>277</v>
      </c>
      <c r="P50" s="46" t="s">
        <v>307</v>
      </c>
    </row>
    <row r="51" spans="1:16" ht="15" customHeight="1" x14ac:dyDescent="0.35">
      <c r="A51" s="46" t="s">
        <v>523</v>
      </c>
      <c r="B51" s="46" t="s">
        <v>524</v>
      </c>
      <c r="C51" s="46" t="s">
        <v>820</v>
      </c>
      <c r="D51" s="46" t="s">
        <v>525</v>
      </c>
      <c r="E51" s="46" t="s">
        <v>219</v>
      </c>
      <c r="F51" s="46" t="s">
        <v>526</v>
      </c>
      <c r="G51" s="46" t="s">
        <v>821</v>
      </c>
      <c r="H51" s="46" t="s">
        <v>15</v>
      </c>
      <c r="I51" s="46" t="s">
        <v>321</v>
      </c>
      <c r="J51" s="46" t="s">
        <v>822</v>
      </c>
      <c r="K51" s="55">
        <v>46160</v>
      </c>
      <c r="L51" s="55">
        <v>46203</v>
      </c>
      <c r="M51" s="46">
        <v>12</v>
      </c>
      <c r="N51" s="46" t="s">
        <v>73</v>
      </c>
      <c r="O51" s="46" t="s">
        <v>197</v>
      </c>
      <c r="P51" s="46" t="s">
        <v>375</v>
      </c>
    </row>
    <row r="52" spans="1:16" ht="15" customHeight="1" x14ac:dyDescent="0.35">
      <c r="A52" s="46" t="s">
        <v>529</v>
      </c>
      <c r="B52" s="46" t="s">
        <v>530</v>
      </c>
      <c r="C52" s="46" t="s">
        <v>498</v>
      </c>
      <c r="D52" s="46" t="s">
        <v>531</v>
      </c>
      <c r="E52" s="46" t="s">
        <v>338</v>
      </c>
      <c r="F52" s="46" t="s">
        <v>532</v>
      </c>
      <c r="G52" s="46" t="s">
        <v>823</v>
      </c>
      <c r="H52" s="46" t="s">
        <v>223</v>
      </c>
      <c r="I52" s="46"/>
      <c r="J52" s="46"/>
      <c r="K52" s="46"/>
      <c r="L52" s="46"/>
      <c r="M52" s="46">
        <v>0</v>
      </c>
      <c r="N52" s="46"/>
      <c r="O52" s="46"/>
      <c r="P52" s="46" t="s">
        <v>269</v>
      </c>
    </row>
    <row r="53" spans="1:16" ht="15" customHeight="1" x14ac:dyDescent="0.35">
      <c r="A53" s="46" t="s">
        <v>534</v>
      </c>
      <c r="B53" s="46" t="s">
        <v>535</v>
      </c>
      <c r="C53" s="46" t="s">
        <v>820</v>
      </c>
      <c r="D53" s="46" t="s">
        <v>536</v>
      </c>
      <c r="E53" s="46" t="s">
        <v>290</v>
      </c>
      <c r="F53" s="46" t="s">
        <v>537</v>
      </c>
      <c r="G53" s="46"/>
      <c r="H53" s="46" t="s">
        <v>15</v>
      </c>
      <c r="I53" s="46" t="s">
        <v>224</v>
      </c>
      <c r="J53" s="55">
        <v>45965</v>
      </c>
      <c r="K53" s="55">
        <v>46073</v>
      </c>
      <c r="L53" s="55">
        <v>46090</v>
      </c>
      <c r="M53" s="46">
        <v>10</v>
      </c>
      <c r="N53" s="46" t="s">
        <v>64</v>
      </c>
      <c r="O53" s="46" t="s">
        <v>263</v>
      </c>
      <c r="P53" s="46" t="s">
        <v>405</v>
      </c>
    </row>
    <row r="54" spans="1:16" ht="15" customHeight="1" x14ac:dyDescent="0.35">
      <c r="A54" s="46" t="s">
        <v>170</v>
      </c>
      <c r="B54" s="46" t="s">
        <v>539</v>
      </c>
      <c r="C54" s="46" t="s">
        <v>498</v>
      </c>
      <c r="D54" s="46" t="s">
        <v>540</v>
      </c>
      <c r="E54" s="46" t="s">
        <v>290</v>
      </c>
      <c r="F54" s="46" t="s">
        <v>541</v>
      </c>
      <c r="G54" s="46" t="s">
        <v>824</v>
      </c>
      <c r="H54" s="46" t="s">
        <v>15</v>
      </c>
      <c r="I54" s="46" t="s">
        <v>262</v>
      </c>
      <c r="J54" s="55">
        <v>46292</v>
      </c>
      <c r="K54" s="55">
        <v>45970</v>
      </c>
      <c r="L54" s="55">
        <v>46290</v>
      </c>
      <c r="M54" s="46">
        <v>6</v>
      </c>
      <c r="N54" s="46" t="s">
        <v>64</v>
      </c>
      <c r="O54" s="46" t="s">
        <v>245</v>
      </c>
      <c r="P54" s="46" t="s">
        <v>381</v>
      </c>
    </row>
    <row r="55" spans="1:16" ht="15" customHeight="1" x14ac:dyDescent="0.35">
      <c r="A55" s="46" t="s">
        <v>544</v>
      </c>
      <c r="B55" s="46" t="s">
        <v>545</v>
      </c>
      <c r="C55" s="46" t="s">
        <v>498</v>
      </c>
      <c r="D55" s="46" t="s">
        <v>546</v>
      </c>
      <c r="E55" s="46" t="s">
        <v>219</v>
      </c>
      <c r="F55" s="46" t="s">
        <v>547</v>
      </c>
      <c r="G55" s="46" t="s">
        <v>548</v>
      </c>
      <c r="H55" s="46" t="s">
        <v>261</v>
      </c>
      <c r="I55" s="46" t="s">
        <v>235</v>
      </c>
      <c r="J55" s="55">
        <v>46226</v>
      </c>
      <c r="K55" s="55">
        <v>46246</v>
      </c>
      <c r="L55" s="46"/>
      <c r="M55" s="46">
        <v>6</v>
      </c>
      <c r="N55" s="46" t="s">
        <v>64</v>
      </c>
      <c r="O55" s="46" t="s">
        <v>245</v>
      </c>
      <c r="P55" s="46" t="s">
        <v>352</v>
      </c>
    </row>
    <row r="56" spans="1:16" ht="15" customHeight="1" x14ac:dyDescent="0.35">
      <c r="A56" s="46" t="s">
        <v>173</v>
      </c>
      <c r="B56" s="46" t="s">
        <v>550</v>
      </c>
      <c r="C56" s="46" t="s">
        <v>498</v>
      </c>
      <c r="D56" s="46" t="s">
        <v>551</v>
      </c>
      <c r="E56" s="46" t="s">
        <v>290</v>
      </c>
      <c r="F56" s="46" t="s">
        <v>552</v>
      </c>
      <c r="G56" s="46" t="s">
        <v>825</v>
      </c>
      <c r="H56" s="46" t="s">
        <v>806</v>
      </c>
      <c r="I56" s="46" t="s">
        <v>276</v>
      </c>
      <c r="J56" s="55">
        <v>46288</v>
      </c>
      <c r="K56" s="55">
        <v>45890</v>
      </c>
      <c r="L56" s="55">
        <v>46338</v>
      </c>
      <c r="M56" s="46">
        <v>5</v>
      </c>
      <c r="N56" s="46" t="s">
        <v>78</v>
      </c>
      <c r="O56" s="46" t="s">
        <v>197</v>
      </c>
      <c r="P56" s="46" t="s">
        <v>246</v>
      </c>
    </row>
    <row r="57" spans="1:16" ht="15" customHeight="1" x14ac:dyDescent="0.35">
      <c r="A57" s="46" t="s">
        <v>555</v>
      </c>
      <c r="B57" s="46" t="s">
        <v>556</v>
      </c>
      <c r="C57" s="46" t="s">
        <v>498</v>
      </c>
      <c r="D57" s="46" t="s">
        <v>557</v>
      </c>
      <c r="E57" s="46" t="s">
        <v>219</v>
      </c>
      <c r="F57" s="46" t="s">
        <v>558</v>
      </c>
      <c r="G57" s="46" t="s">
        <v>559</v>
      </c>
      <c r="H57" s="46" t="s">
        <v>826</v>
      </c>
      <c r="I57" s="46" t="s">
        <v>235</v>
      </c>
      <c r="J57" s="55">
        <v>46228</v>
      </c>
      <c r="K57" s="55">
        <v>46233</v>
      </c>
      <c r="L57" s="55">
        <v>46292</v>
      </c>
      <c r="M57" s="46">
        <v>10</v>
      </c>
      <c r="N57" s="46" t="s">
        <v>64</v>
      </c>
      <c r="O57" s="46" t="s">
        <v>245</v>
      </c>
      <c r="P57" s="46" t="s">
        <v>285</v>
      </c>
    </row>
    <row r="58" spans="1:16" ht="15" customHeight="1" x14ac:dyDescent="0.35">
      <c r="A58" s="46" t="s">
        <v>560</v>
      </c>
      <c r="B58" s="46" t="s">
        <v>561</v>
      </c>
      <c r="C58" s="46" t="s">
        <v>820</v>
      </c>
      <c r="D58" s="46" t="s">
        <v>562</v>
      </c>
      <c r="E58" s="46" t="s">
        <v>231</v>
      </c>
      <c r="F58" s="46"/>
      <c r="G58" s="46" t="s">
        <v>563</v>
      </c>
      <c r="H58" s="46" t="s">
        <v>234</v>
      </c>
      <c r="I58" s="46" t="s">
        <v>321</v>
      </c>
      <c r="J58" s="55">
        <v>46068</v>
      </c>
      <c r="K58" s="55">
        <v>46079</v>
      </c>
      <c r="L58" s="55">
        <v>46120</v>
      </c>
      <c r="M58" s="46">
        <v>2</v>
      </c>
      <c r="N58" s="46" t="s">
        <v>78</v>
      </c>
      <c r="O58" s="46" t="s">
        <v>277</v>
      </c>
      <c r="P58" s="46" t="s">
        <v>515</v>
      </c>
    </row>
    <row r="59" spans="1:16" ht="15" customHeight="1" x14ac:dyDescent="0.35">
      <c r="A59" s="46" t="s">
        <v>565</v>
      </c>
      <c r="B59" s="46" t="s">
        <v>566</v>
      </c>
      <c r="C59" s="46" t="s">
        <v>498</v>
      </c>
      <c r="D59" s="46" t="s">
        <v>827</v>
      </c>
      <c r="E59" s="46" t="s">
        <v>251</v>
      </c>
      <c r="F59" s="46" t="s">
        <v>568</v>
      </c>
      <c r="G59" s="46" t="s">
        <v>569</v>
      </c>
      <c r="H59" s="46" t="s">
        <v>243</v>
      </c>
      <c r="I59" s="46" t="s">
        <v>321</v>
      </c>
      <c r="J59" s="55">
        <v>45748</v>
      </c>
      <c r="K59" s="55">
        <v>46261</v>
      </c>
      <c r="L59" s="55">
        <v>46338</v>
      </c>
      <c r="M59" s="46">
        <v>5</v>
      </c>
      <c r="N59" s="46" t="s">
        <v>78</v>
      </c>
      <c r="O59" s="46" t="s">
        <v>369</v>
      </c>
      <c r="P59" s="46" t="s">
        <v>307</v>
      </c>
    </row>
    <row r="60" spans="1:16" ht="15" customHeight="1" x14ac:dyDescent="0.35">
      <c r="A60" s="46" t="s">
        <v>570</v>
      </c>
      <c r="B60" s="46" t="s">
        <v>571</v>
      </c>
      <c r="C60" s="46" t="s">
        <v>498</v>
      </c>
      <c r="D60" s="46" t="s">
        <v>572</v>
      </c>
      <c r="E60" s="46" t="s">
        <v>219</v>
      </c>
      <c r="F60" s="46" t="s">
        <v>573</v>
      </c>
      <c r="G60" s="46"/>
      <c r="H60" s="46" t="s">
        <v>223</v>
      </c>
      <c r="I60" s="46"/>
      <c r="J60" s="46"/>
      <c r="K60" s="46"/>
      <c r="L60" s="46"/>
      <c r="M60" s="46">
        <v>0</v>
      </c>
      <c r="N60" s="46"/>
      <c r="O60" s="46"/>
      <c r="P60" s="46"/>
    </row>
    <row r="61" spans="1:16" ht="15" customHeight="1" x14ac:dyDescent="0.35">
      <c r="A61" s="46"/>
      <c r="B61" s="46" t="s">
        <v>575</v>
      </c>
      <c r="C61" s="46" t="s">
        <v>498</v>
      </c>
      <c r="D61" s="46" t="s">
        <v>576</v>
      </c>
      <c r="E61" s="46" t="s">
        <v>251</v>
      </c>
      <c r="F61" s="46"/>
      <c r="G61" s="46" t="s">
        <v>828</v>
      </c>
      <c r="H61" s="46" t="s">
        <v>15</v>
      </c>
      <c r="I61" s="46" t="s">
        <v>224</v>
      </c>
      <c r="J61" s="55">
        <v>46131</v>
      </c>
      <c r="K61" s="55">
        <v>46225</v>
      </c>
      <c r="L61" s="55">
        <v>46245</v>
      </c>
      <c r="M61" s="46">
        <v>19</v>
      </c>
      <c r="N61" s="46"/>
      <c r="O61" s="46" t="s">
        <v>197</v>
      </c>
      <c r="P61" s="46" t="s">
        <v>510</v>
      </c>
    </row>
    <row r="62" spans="1:16" ht="15" customHeight="1" x14ac:dyDescent="0.35">
      <c r="A62" s="46" t="s">
        <v>164</v>
      </c>
      <c r="B62" s="46" t="s">
        <v>579</v>
      </c>
      <c r="C62" s="46" t="s">
        <v>498</v>
      </c>
      <c r="D62" s="46" t="s">
        <v>580</v>
      </c>
      <c r="E62" s="46" t="s">
        <v>312</v>
      </c>
      <c r="F62" s="46" t="s">
        <v>581</v>
      </c>
      <c r="G62" s="46" t="s">
        <v>582</v>
      </c>
      <c r="H62" s="46" t="s">
        <v>261</v>
      </c>
      <c r="I62" s="46" t="s">
        <v>254</v>
      </c>
      <c r="J62" s="55">
        <v>45772</v>
      </c>
      <c r="K62" s="55">
        <v>46388</v>
      </c>
      <c r="L62" s="55">
        <v>46313</v>
      </c>
      <c r="M62" s="46">
        <v>3</v>
      </c>
      <c r="N62" s="46" t="s">
        <v>73</v>
      </c>
      <c r="O62" s="46" t="s">
        <v>369</v>
      </c>
      <c r="P62" s="46" t="s">
        <v>264</v>
      </c>
    </row>
    <row r="63" spans="1:16" ht="15" customHeight="1" x14ac:dyDescent="0.35">
      <c r="A63" s="46" t="s">
        <v>158</v>
      </c>
      <c r="B63" s="46" t="s">
        <v>583</v>
      </c>
      <c r="C63" s="46" t="s">
        <v>498</v>
      </c>
      <c r="D63" s="46" t="s">
        <v>584</v>
      </c>
      <c r="E63" s="46" t="s">
        <v>312</v>
      </c>
      <c r="F63" s="46" t="s">
        <v>585</v>
      </c>
      <c r="G63" s="46" t="s">
        <v>586</v>
      </c>
      <c r="H63" s="46" t="s">
        <v>15</v>
      </c>
      <c r="I63" s="46" t="s">
        <v>321</v>
      </c>
      <c r="J63" s="55">
        <v>45873</v>
      </c>
      <c r="K63" s="55">
        <v>46273</v>
      </c>
      <c r="L63" s="55">
        <v>46295</v>
      </c>
      <c r="M63" s="46">
        <v>0</v>
      </c>
      <c r="N63" s="46" t="s">
        <v>64</v>
      </c>
      <c r="O63" s="46" t="s">
        <v>277</v>
      </c>
      <c r="P63" s="46" t="s">
        <v>405</v>
      </c>
    </row>
    <row r="64" spans="1:16" ht="15" customHeight="1" x14ac:dyDescent="0.35">
      <c r="A64" s="46"/>
      <c r="B64" s="46" t="s">
        <v>587</v>
      </c>
      <c r="C64" s="46" t="s">
        <v>588</v>
      </c>
      <c r="D64" s="46" t="s">
        <v>589</v>
      </c>
      <c r="E64" s="46" t="s">
        <v>324</v>
      </c>
      <c r="F64" s="46" t="s">
        <v>590</v>
      </c>
      <c r="G64" s="46"/>
      <c r="H64" s="46" t="s">
        <v>284</v>
      </c>
      <c r="I64" s="46"/>
      <c r="J64" s="55">
        <v>46009</v>
      </c>
      <c r="K64" s="55">
        <v>46284</v>
      </c>
      <c r="L64" s="55">
        <v>46324</v>
      </c>
      <c r="M64" s="46">
        <v>8</v>
      </c>
      <c r="N64" s="46" t="s">
        <v>73</v>
      </c>
      <c r="O64" s="46" t="s">
        <v>263</v>
      </c>
      <c r="P64" s="46" t="s">
        <v>285</v>
      </c>
    </row>
    <row r="65" spans="1:16" ht="15" customHeight="1" x14ac:dyDescent="0.35">
      <c r="A65" s="46" t="s">
        <v>592</v>
      </c>
      <c r="B65" s="46" t="s">
        <v>593</v>
      </c>
      <c r="C65" s="46" t="s">
        <v>829</v>
      </c>
      <c r="D65" s="46" t="s">
        <v>830</v>
      </c>
      <c r="E65" s="46" t="s">
        <v>290</v>
      </c>
      <c r="F65" s="46" t="s">
        <v>594</v>
      </c>
      <c r="G65" s="46" t="s">
        <v>831</v>
      </c>
      <c r="H65" s="46" t="s">
        <v>15</v>
      </c>
      <c r="I65" s="46" t="s">
        <v>224</v>
      </c>
      <c r="J65" s="55">
        <v>45687</v>
      </c>
      <c r="K65" s="55">
        <v>46212</v>
      </c>
      <c r="L65" s="55">
        <v>46271</v>
      </c>
      <c r="M65" s="46">
        <v>10</v>
      </c>
      <c r="N65" s="46" t="s">
        <v>64</v>
      </c>
      <c r="O65" s="46" t="s">
        <v>263</v>
      </c>
      <c r="P65" s="46" t="s">
        <v>405</v>
      </c>
    </row>
    <row r="66" spans="1:16" ht="15" customHeight="1" x14ac:dyDescent="0.35">
      <c r="A66" s="46" t="s">
        <v>175</v>
      </c>
      <c r="B66" s="46" t="s">
        <v>597</v>
      </c>
      <c r="C66" s="46" t="s">
        <v>588</v>
      </c>
      <c r="D66" s="46" t="s">
        <v>598</v>
      </c>
      <c r="E66" s="46" t="s">
        <v>324</v>
      </c>
      <c r="F66" s="46" t="s">
        <v>599</v>
      </c>
      <c r="G66" s="46" t="s">
        <v>832</v>
      </c>
      <c r="H66" s="46" t="s">
        <v>15</v>
      </c>
      <c r="I66" s="46" t="s">
        <v>262</v>
      </c>
      <c r="J66" s="55">
        <v>45797</v>
      </c>
      <c r="K66" s="55">
        <v>46285</v>
      </c>
      <c r="L66" s="55">
        <v>46333</v>
      </c>
      <c r="M66" s="46">
        <v>9</v>
      </c>
      <c r="N66" s="46"/>
      <c r="O66" s="46" t="s">
        <v>369</v>
      </c>
      <c r="P66" s="46" t="s">
        <v>255</v>
      </c>
    </row>
    <row r="67" spans="1:16" ht="15" customHeight="1" x14ac:dyDescent="0.35">
      <c r="A67" s="46" t="s">
        <v>601</v>
      </c>
      <c r="B67" s="46" t="s">
        <v>602</v>
      </c>
      <c r="C67" s="46" t="s">
        <v>588</v>
      </c>
      <c r="D67" s="46" t="s">
        <v>833</v>
      </c>
      <c r="E67" s="46" t="s">
        <v>290</v>
      </c>
      <c r="F67" s="46" t="s">
        <v>604</v>
      </c>
      <c r="G67" s="46" t="s">
        <v>834</v>
      </c>
      <c r="H67" s="46" t="s">
        <v>234</v>
      </c>
      <c r="I67" s="46" t="s">
        <v>224</v>
      </c>
      <c r="J67" s="55">
        <v>45783</v>
      </c>
      <c r="K67" s="46"/>
      <c r="L67" s="55">
        <v>46340</v>
      </c>
      <c r="M67" s="46">
        <v>2</v>
      </c>
      <c r="N67" s="46" t="s">
        <v>78</v>
      </c>
      <c r="O67" s="46" t="s">
        <v>369</v>
      </c>
      <c r="P67" s="46" t="s">
        <v>340</v>
      </c>
    </row>
    <row r="68" spans="1:16" ht="15" customHeight="1" x14ac:dyDescent="0.35">
      <c r="A68" s="46" t="s">
        <v>606</v>
      </c>
      <c r="B68" s="46" t="s">
        <v>607</v>
      </c>
      <c r="C68" s="46" t="s">
        <v>588</v>
      </c>
      <c r="D68" s="46" t="s">
        <v>608</v>
      </c>
      <c r="E68" s="46" t="s">
        <v>338</v>
      </c>
      <c r="F68" s="46" t="s">
        <v>609</v>
      </c>
      <c r="G68" s="46" t="s">
        <v>835</v>
      </c>
      <c r="H68" s="46" t="s">
        <v>826</v>
      </c>
      <c r="I68" s="46"/>
      <c r="J68" s="55">
        <v>45794</v>
      </c>
      <c r="K68" s="55">
        <v>46277</v>
      </c>
      <c r="L68" s="55">
        <v>46294</v>
      </c>
      <c r="M68" s="46">
        <v>9</v>
      </c>
      <c r="N68" s="46" t="s">
        <v>73</v>
      </c>
      <c r="O68" s="46" t="s">
        <v>197</v>
      </c>
      <c r="P68" s="46" t="s">
        <v>315</v>
      </c>
    </row>
    <row r="69" spans="1:16" ht="15" customHeight="1" x14ac:dyDescent="0.35">
      <c r="A69" s="46" t="s">
        <v>612</v>
      </c>
      <c r="B69" s="46" t="s">
        <v>613</v>
      </c>
      <c r="C69" s="46" t="s">
        <v>588</v>
      </c>
      <c r="D69" s="46" t="s">
        <v>614</v>
      </c>
      <c r="E69" s="46" t="s">
        <v>219</v>
      </c>
      <c r="F69" s="46" t="s">
        <v>615</v>
      </c>
      <c r="G69" s="46" t="s">
        <v>836</v>
      </c>
      <c r="H69" s="46" t="s">
        <v>234</v>
      </c>
      <c r="I69" s="46" t="s">
        <v>262</v>
      </c>
      <c r="J69" s="55">
        <v>45931</v>
      </c>
      <c r="K69" s="55">
        <v>46287</v>
      </c>
      <c r="L69" s="55">
        <v>46305</v>
      </c>
      <c r="M69" s="46"/>
      <c r="N69" s="46" t="s">
        <v>78</v>
      </c>
      <c r="O69" s="46" t="s">
        <v>197</v>
      </c>
      <c r="P69" s="46" t="s">
        <v>236</v>
      </c>
    </row>
    <row r="70" spans="1:16" ht="15" customHeight="1" x14ac:dyDescent="0.35">
      <c r="A70" s="46" t="s">
        <v>617</v>
      </c>
      <c r="B70" s="46" t="s">
        <v>618</v>
      </c>
      <c r="C70" s="46" t="s">
        <v>829</v>
      </c>
      <c r="D70" s="46" t="s">
        <v>619</v>
      </c>
      <c r="E70" s="46" t="s">
        <v>251</v>
      </c>
      <c r="F70" s="46"/>
      <c r="G70" s="46" t="s">
        <v>837</v>
      </c>
      <c r="H70" s="46" t="s">
        <v>838</v>
      </c>
      <c r="I70" s="46" t="s">
        <v>262</v>
      </c>
      <c r="J70" s="55">
        <v>45808</v>
      </c>
      <c r="K70" s="55">
        <v>46079</v>
      </c>
      <c r="L70" s="46"/>
      <c r="M70" s="46">
        <v>3</v>
      </c>
      <c r="N70" s="46" t="s">
        <v>78</v>
      </c>
      <c r="O70" s="46" t="s">
        <v>197</v>
      </c>
      <c r="P70" s="46" t="s">
        <v>495</v>
      </c>
    </row>
    <row r="71" spans="1:16" ht="15" customHeight="1" x14ac:dyDescent="0.35">
      <c r="A71" s="46" t="s">
        <v>622</v>
      </c>
      <c r="B71" s="46" t="s">
        <v>623</v>
      </c>
      <c r="C71" s="46" t="s">
        <v>588</v>
      </c>
      <c r="D71" s="46" t="s">
        <v>624</v>
      </c>
      <c r="E71" s="46" t="s">
        <v>231</v>
      </c>
      <c r="F71" s="46" t="s">
        <v>625</v>
      </c>
      <c r="G71" s="46" t="s">
        <v>839</v>
      </c>
      <c r="H71" s="46" t="s">
        <v>234</v>
      </c>
      <c r="I71" s="46" t="s">
        <v>235</v>
      </c>
      <c r="J71" s="55">
        <v>45965</v>
      </c>
      <c r="K71" s="55">
        <v>46076</v>
      </c>
      <c r="L71" s="55">
        <v>46134</v>
      </c>
      <c r="M71" s="46">
        <v>-3</v>
      </c>
      <c r="N71" s="46" t="s">
        <v>78</v>
      </c>
      <c r="O71" s="46" t="s">
        <v>369</v>
      </c>
      <c r="P71" s="46" t="s">
        <v>300</v>
      </c>
    </row>
    <row r="72" spans="1:16" ht="15" customHeight="1" x14ac:dyDescent="0.35">
      <c r="A72" s="46" t="s">
        <v>628</v>
      </c>
      <c r="B72" s="46" t="s">
        <v>629</v>
      </c>
      <c r="C72" s="46"/>
      <c r="D72" s="46" t="s">
        <v>603</v>
      </c>
      <c r="E72" s="46" t="s">
        <v>338</v>
      </c>
      <c r="F72" s="46" t="s">
        <v>630</v>
      </c>
      <c r="G72" s="46" t="s">
        <v>840</v>
      </c>
      <c r="H72" s="46" t="s">
        <v>284</v>
      </c>
      <c r="I72" s="46" t="s">
        <v>224</v>
      </c>
      <c r="J72" s="55">
        <v>46072</v>
      </c>
      <c r="K72" s="46" t="s">
        <v>841</v>
      </c>
      <c r="L72" s="55">
        <v>46264</v>
      </c>
      <c r="M72" s="46">
        <v>6</v>
      </c>
      <c r="N72" s="46" t="s">
        <v>73</v>
      </c>
      <c r="O72" s="46" t="s">
        <v>197</v>
      </c>
      <c r="P72" s="46" t="s">
        <v>285</v>
      </c>
    </row>
    <row r="73" spans="1:16" ht="15" customHeight="1" x14ac:dyDescent="0.35">
      <c r="A73" s="46" t="s">
        <v>633</v>
      </c>
      <c r="B73" s="46" t="s">
        <v>634</v>
      </c>
      <c r="C73" s="46" t="s">
        <v>588</v>
      </c>
      <c r="D73" s="46" t="s">
        <v>635</v>
      </c>
      <c r="E73" s="46" t="s">
        <v>312</v>
      </c>
      <c r="F73" s="46" t="s">
        <v>636</v>
      </c>
      <c r="G73" s="46" t="s">
        <v>842</v>
      </c>
      <c r="H73" s="46" t="s">
        <v>234</v>
      </c>
      <c r="I73" s="46" t="s">
        <v>224</v>
      </c>
      <c r="J73" s="55">
        <v>45960</v>
      </c>
      <c r="K73" s="55">
        <v>46287</v>
      </c>
      <c r="L73" s="55">
        <v>46339</v>
      </c>
      <c r="M73" s="46">
        <v>2</v>
      </c>
      <c r="N73" s="46" t="s">
        <v>78</v>
      </c>
      <c r="O73" s="46" t="s">
        <v>277</v>
      </c>
      <c r="P73" s="46" t="s">
        <v>340</v>
      </c>
    </row>
    <row r="74" spans="1:16" ht="15" customHeight="1" x14ac:dyDescent="0.35">
      <c r="A74" s="46" t="s">
        <v>638</v>
      </c>
      <c r="B74" s="46" t="s">
        <v>639</v>
      </c>
      <c r="C74" s="46" t="s">
        <v>588</v>
      </c>
      <c r="D74" s="46" t="s">
        <v>640</v>
      </c>
      <c r="E74" s="46" t="s">
        <v>251</v>
      </c>
      <c r="F74" s="46" t="s">
        <v>641</v>
      </c>
      <c r="G74" s="46" t="s">
        <v>843</v>
      </c>
      <c r="H74" s="46" t="s">
        <v>261</v>
      </c>
      <c r="I74" s="46" t="s">
        <v>262</v>
      </c>
      <c r="J74" s="55">
        <v>46208</v>
      </c>
      <c r="K74" s="55">
        <v>46278</v>
      </c>
      <c r="L74" s="55">
        <v>46307</v>
      </c>
      <c r="M74" s="46">
        <v>4</v>
      </c>
      <c r="N74" s="46" t="s">
        <v>73</v>
      </c>
      <c r="O74" s="46" t="s">
        <v>369</v>
      </c>
      <c r="P74" s="46" t="s">
        <v>264</v>
      </c>
    </row>
    <row r="75" spans="1:16" ht="15" customHeight="1" x14ac:dyDescent="0.35">
      <c r="A75" s="46" t="s">
        <v>150</v>
      </c>
      <c r="B75" s="46" t="s">
        <v>643</v>
      </c>
      <c r="C75" s="46" t="s">
        <v>588</v>
      </c>
      <c r="D75" s="46" t="s">
        <v>281</v>
      </c>
      <c r="E75" s="46" t="s">
        <v>338</v>
      </c>
      <c r="F75" s="46" t="s">
        <v>644</v>
      </c>
      <c r="G75" s="46"/>
      <c r="H75" s="46" t="s">
        <v>223</v>
      </c>
      <c r="I75" s="46" t="s">
        <v>262</v>
      </c>
      <c r="J75" s="46"/>
      <c r="K75" s="55">
        <v>46210</v>
      </c>
      <c r="L75" s="46"/>
      <c r="M75" s="46">
        <v>3</v>
      </c>
      <c r="N75" s="46"/>
      <c r="O75" s="46"/>
      <c r="P75" s="46" t="s">
        <v>226</v>
      </c>
    </row>
    <row r="76" spans="1:16" ht="15" customHeight="1" x14ac:dyDescent="0.35">
      <c r="A76" s="46" t="s">
        <v>646</v>
      </c>
      <c r="B76" s="46" t="s">
        <v>647</v>
      </c>
      <c r="C76" s="46" t="s">
        <v>588</v>
      </c>
      <c r="D76" s="46" t="s">
        <v>648</v>
      </c>
      <c r="E76" s="46" t="s">
        <v>251</v>
      </c>
      <c r="F76" s="46" t="s">
        <v>649</v>
      </c>
      <c r="G76" s="46" t="s">
        <v>650</v>
      </c>
      <c r="H76" s="46" t="s">
        <v>223</v>
      </c>
      <c r="I76" s="46" t="s">
        <v>276</v>
      </c>
      <c r="J76" s="46"/>
      <c r="K76" s="46"/>
      <c r="L76" s="46"/>
      <c r="M76" s="46">
        <v>0</v>
      </c>
      <c r="N76" s="46"/>
      <c r="O76" s="46"/>
      <c r="P76" s="46"/>
    </row>
    <row r="77" spans="1:16" ht="15" customHeight="1" x14ac:dyDescent="0.35">
      <c r="A77" s="46" t="s">
        <v>651</v>
      </c>
      <c r="B77" s="46" t="s">
        <v>652</v>
      </c>
      <c r="C77" s="46" t="s">
        <v>588</v>
      </c>
      <c r="D77" s="46" t="s">
        <v>653</v>
      </c>
      <c r="E77" s="46" t="s">
        <v>231</v>
      </c>
      <c r="F77" s="46" t="s">
        <v>654</v>
      </c>
      <c r="G77" s="46"/>
      <c r="H77" s="46" t="s">
        <v>15</v>
      </c>
      <c r="I77" s="46" t="s">
        <v>276</v>
      </c>
      <c r="J77" s="55">
        <v>45884</v>
      </c>
      <c r="K77" s="55">
        <v>46277</v>
      </c>
      <c r="L77" s="55">
        <v>46321</v>
      </c>
      <c r="M77" s="46">
        <v>8</v>
      </c>
      <c r="N77" s="46"/>
      <c r="O77" s="46" t="s">
        <v>277</v>
      </c>
      <c r="P77" s="46" t="s">
        <v>405</v>
      </c>
    </row>
    <row r="78" spans="1:16" ht="15" customHeight="1" x14ac:dyDescent="0.35">
      <c r="A78" s="46" t="s">
        <v>656</v>
      </c>
      <c r="B78" s="46" t="s">
        <v>657</v>
      </c>
      <c r="C78" s="46" t="s">
        <v>658</v>
      </c>
      <c r="D78" s="46" t="s">
        <v>659</v>
      </c>
      <c r="E78" s="46" t="s">
        <v>312</v>
      </c>
      <c r="F78" s="46" t="s">
        <v>660</v>
      </c>
      <c r="G78" s="46"/>
      <c r="H78" s="46" t="s">
        <v>234</v>
      </c>
      <c r="I78" s="46" t="s">
        <v>276</v>
      </c>
      <c r="J78" s="55">
        <v>45844</v>
      </c>
      <c r="K78" s="55">
        <v>46276</v>
      </c>
      <c r="L78" s="46"/>
      <c r="M78" s="46"/>
      <c r="N78" s="46" t="s">
        <v>78</v>
      </c>
      <c r="O78" s="46" t="s">
        <v>197</v>
      </c>
      <c r="P78" s="46" t="s">
        <v>300</v>
      </c>
    </row>
    <row r="79" spans="1:16" ht="15" customHeight="1" x14ac:dyDescent="0.35">
      <c r="A79" s="46" t="s">
        <v>166</v>
      </c>
      <c r="B79" s="46" t="s">
        <v>662</v>
      </c>
      <c r="C79" s="46" t="s">
        <v>658</v>
      </c>
      <c r="D79" s="46" t="s">
        <v>663</v>
      </c>
      <c r="E79" s="46" t="s">
        <v>312</v>
      </c>
      <c r="F79" s="46" t="s">
        <v>664</v>
      </c>
      <c r="G79" s="46" t="s">
        <v>844</v>
      </c>
      <c r="H79" s="46" t="s">
        <v>243</v>
      </c>
      <c r="I79" s="46" t="s">
        <v>254</v>
      </c>
      <c r="J79" s="55">
        <v>46314</v>
      </c>
      <c r="K79" s="55">
        <v>45847</v>
      </c>
      <c r="L79" s="55">
        <v>46380</v>
      </c>
      <c r="M79" s="46">
        <v>5</v>
      </c>
      <c r="N79" s="46" t="s">
        <v>78</v>
      </c>
      <c r="O79" s="46" t="s">
        <v>245</v>
      </c>
      <c r="P79" s="46" t="s">
        <v>246</v>
      </c>
    </row>
    <row r="80" spans="1:16" ht="15" customHeight="1" x14ac:dyDescent="0.35">
      <c r="A80" s="46" t="s">
        <v>667</v>
      </c>
      <c r="B80" s="46" t="s">
        <v>668</v>
      </c>
      <c r="C80" s="46" t="s">
        <v>658</v>
      </c>
      <c r="D80" s="46" t="s">
        <v>669</v>
      </c>
      <c r="E80" s="46" t="s">
        <v>324</v>
      </c>
      <c r="F80" s="46"/>
      <c r="G80" s="46" t="s">
        <v>670</v>
      </c>
      <c r="H80" s="46" t="s">
        <v>15</v>
      </c>
      <c r="I80" s="46" t="s">
        <v>235</v>
      </c>
      <c r="J80" s="55">
        <v>46009</v>
      </c>
      <c r="K80" s="55">
        <v>46211</v>
      </c>
      <c r="L80" s="46" t="s">
        <v>841</v>
      </c>
      <c r="M80" s="46">
        <v>10</v>
      </c>
      <c r="N80" s="46" t="s">
        <v>73</v>
      </c>
      <c r="O80" s="46" t="s">
        <v>197</v>
      </c>
      <c r="P80" s="46" t="s">
        <v>255</v>
      </c>
    </row>
    <row r="81" spans="1:16" ht="15" customHeight="1" x14ac:dyDescent="0.35">
      <c r="A81" s="46" t="s">
        <v>672</v>
      </c>
      <c r="B81" s="46" t="s">
        <v>673</v>
      </c>
      <c r="C81" s="46" t="s">
        <v>658</v>
      </c>
      <c r="D81" s="46" t="s">
        <v>674</v>
      </c>
      <c r="E81" s="46" t="s">
        <v>231</v>
      </c>
      <c r="F81" s="46" t="s">
        <v>675</v>
      </c>
      <c r="G81" s="46" t="s">
        <v>845</v>
      </c>
      <c r="H81" s="46" t="s">
        <v>234</v>
      </c>
      <c r="I81" s="46" t="s">
        <v>321</v>
      </c>
      <c r="J81" s="55">
        <v>45738</v>
      </c>
      <c r="K81" s="55">
        <v>46206</v>
      </c>
      <c r="L81" s="55">
        <v>46224</v>
      </c>
      <c r="M81" s="46">
        <v>1</v>
      </c>
      <c r="N81" s="46"/>
      <c r="O81" s="46" t="s">
        <v>197</v>
      </c>
      <c r="P81" s="46" t="s">
        <v>340</v>
      </c>
    </row>
    <row r="82" spans="1:16" ht="15" customHeight="1" x14ac:dyDescent="0.35">
      <c r="A82" s="46" t="s">
        <v>677</v>
      </c>
      <c r="B82" s="46" t="s">
        <v>678</v>
      </c>
      <c r="C82" s="46" t="s">
        <v>658</v>
      </c>
      <c r="D82" s="46" t="s">
        <v>679</v>
      </c>
      <c r="E82" s="46" t="s">
        <v>219</v>
      </c>
      <c r="F82" s="46"/>
      <c r="G82" s="46" t="s">
        <v>846</v>
      </c>
      <c r="H82" s="46" t="s">
        <v>261</v>
      </c>
      <c r="I82" s="46" t="s">
        <v>321</v>
      </c>
      <c r="J82" s="46" t="s">
        <v>847</v>
      </c>
      <c r="K82" s="55">
        <v>46193</v>
      </c>
      <c r="L82" s="55">
        <v>46242</v>
      </c>
      <c r="M82" s="46">
        <v>5</v>
      </c>
      <c r="N82" s="46" t="s">
        <v>73</v>
      </c>
      <c r="O82" s="46" t="s">
        <v>197</v>
      </c>
      <c r="P82" s="46" t="s">
        <v>434</v>
      </c>
    </row>
    <row r="83" spans="1:16" ht="15" customHeight="1" x14ac:dyDescent="0.35">
      <c r="A83" s="46" t="s">
        <v>681</v>
      </c>
      <c r="B83" s="46" t="s">
        <v>682</v>
      </c>
      <c r="C83" s="46" t="s">
        <v>365</v>
      </c>
      <c r="D83" s="46" t="s">
        <v>848</v>
      </c>
      <c r="E83" s="46" t="s">
        <v>324</v>
      </c>
      <c r="F83" s="46" t="s">
        <v>684</v>
      </c>
      <c r="G83" s="46" t="s">
        <v>685</v>
      </c>
      <c r="H83" s="46" t="s">
        <v>284</v>
      </c>
      <c r="I83" s="46" t="s">
        <v>235</v>
      </c>
      <c r="J83" s="55">
        <v>46192</v>
      </c>
      <c r="K83" s="46" t="s">
        <v>849</v>
      </c>
      <c r="L83" s="55">
        <v>46312</v>
      </c>
      <c r="M83" s="46">
        <v>7</v>
      </c>
      <c r="N83" s="46" t="s">
        <v>64</v>
      </c>
      <c r="O83" s="46" t="s">
        <v>197</v>
      </c>
      <c r="P83" s="46" t="s">
        <v>315</v>
      </c>
    </row>
    <row r="84" spans="1:16" ht="15" customHeight="1" x14ac:dyDescent="0.35">
      <c r="A84" s="46" t="s">
        <v>687</v>
      </c>
      <c r="B84" s="46" t="s">
        <v>688</v>
      </c>
      <c r="C84" s="46" t="s">
        <v>658</v>
      </c>
      <c r="D84" s="46" t="s">
        <v>689</v>
      </c>
      <c r="E84" s="46" t="s">
        <v>324</v>
      </c>
      <c r="F84" s="46" t="s">
        <v>690</v>
      </c>
      <c r="G84" s="46" t="s">
        <v>850</v>
      </c>
      <c r="H84" s="46" t="s">
        <v>234</v>
      </c>
      <c r="I84" s="46" t="s">
        <v>235</v>
      </c>
      <c r="J84" s="55">
        <v>46092</v>
      </c>
      <c r="K84" s="55">
        <v>46251</v>
      </c>
      <c r="L84" s="55">
        <v>46275</v>
      </c>
      <c r="M84" s="46">
        <v>2</v>
      </c>
      <c r="N84" s="46" t="s">
        <v>78</v>
      </c>
      <c r="O84" s="46" t="s">
        <v>263</v>
      </c>
      <c r="P84" s="46" t="s">
        <v>515</v>
      </c>
    </row>
    <row r="85" spans="1:16" ht="15" customHeight="1" x14ac:dyDescent="0.35">
      <c r="A85" s="46" t="s">
        <v>692</v>
      </c>
      <c r="B85" s="46" t="s">
        <v>693</v>
      </c>
      <c r="C85" s="46" t="s">
        <v>658</v>
      </c>
      <c r="D85" s="46" t="s">
        <v>694</v>
      </c>
      <c r="E85" s="46" t="s">
        <v>290</v>
      </c>
      <c r="F85" s="46" t="s">
        <v>695</v>
      </c>
      <c r="G85" s="46"/>
      <c r="H85" s="46" t="s">
        <v>223</v>
      </c>
      <c r="I85" s="46" t="s">
        <v>254</v>
      </c>
      <c r="J85" s="46"/>
      <c r="K85" s="46"/>
      <c r="L85" s="46"/>
      <c r="M85" s="46">
        <v>0</v>
      </c>
      <c r="N85" s="46"/>
      <c r="O85" s="46"/>
      <c r="P85" s="46"/>
    </row>
    <row r="86" spans="1:16" ht="15" customHeight="1" x14ac:dyDescent="0.35">
      <c r="A86" s="46" t="s">
        <v>601</v>
      </c>
      <c r="B86" s="46" t="s">
        <v>602</v>
      </c>
      <c r="C86" s="46" t="s">
        <v>588</v>
      </c>
      <c r="D86" s="46" t="s">
        <v>833</v>
      </c>
      <c r="E86" s="46" t="s">
        <v>290</v>
      </c>
      <c r="F86" s="46" t="s">
        <v>604</v>
      </c>
      <c r="G86" s="46" t="s">
        <v>834</v>
      </c>
      <c r="H86" s="46" t="s">
        <v>234</v>
      </c>
      <c r="I86" s="46" t="s">
        <v>224</v>
      </c>
      <c r="J86" s="55">
        <v>45783</v>
      </c>
      <c r="K86" s="46"/>
      <c r="L86" s="55">
        <v>46340</v>
      </c>
      <c r="M86" s="46">
        <v>2</v>
      </c>
      <c r="N86" s="46" t="s">
        <v>78</v>
      </c>
      <c r="O86" s="46" t="s">
        <v>369</v>
      </c>
      <c r="P86" s="46" t="s">
        <v>340</v>
      </c>
    </row>
    <row r="87" spans="1:16" ht="15" customHeight="1" x14ac:dyDescent="0.35">
      <c r="A87" s="46" t="s">
        <v>295</v>
      </c>
      <c r="B87" s="46" t="s">
        <v>296</v>
      </c>
      <c r="C87" s="46" t="s">
        <v>217</v>
      </c>
      <c r="D87" s="46" t="s">
        <v>297</v>
      </c>
      <c r="E87" s="46" t="s">
        <v>231</v>
      </c>
      <c r="F87" s="46" t="s">
        <v>298</v>
      </c>
      <c r="G87" s="46" t="s">
        <v>299</v>
      </c>
      <c r="H87" s="46" t="s">
        <v>700</v>
      </c>
      <c r="I87" s="46" t="s">
        <v>254</v>
      </c>
      <c r="J87" s="55">
        <v>46005</v>
      </c>
      <c r="K87" s="46"/>
      <c r="L87" s="46"/>
      <c r="M87" s="46">
        <v>2</v>
      </c>
      <c r="N87" s="46" t="s">
        <v>73</v>
      </c>
      <c r="O87" s="46" t="s">
        <v>277</v>
      </c>
      <c r="P87" s="46" t="s">
        <v>300</v>
      </c>
    </row>
    <row r="88" spans="1:16" ht="15" customHeight="1" x14ac:dyDescent="0.35">
      <c r="A88" s="46" t="s">
        <v>529</v>
      </c>
      <c r="B88" s="46" t="s">
        <v>530</v>
      </c>
      <c r="C88" s="46" t="s">
        <v>498</v>
      </c>
      <c r="D88" s="46" t="s">
        <v>531</v>
      </c>
      <c r="E88" s="46" t="s">
        <v>338</v>
      </c>
      <c r="F88" s="46" t="s">
        <v>532</v>
      </c>
      <c r="G88" s="46" t="s">
        <v>823</v>
      </c>
      <c r="H88" s="46" t="s">
        <v>223</v>
      </c>
      <c r="I88" s="46"/>
      <c r="J88" s="46"/>
      <c r="K88" s="46"/>
      <c r="L88" s="46"/>
      <c r="M88" s="46">
        <v>0</v>
      </c>
      <c r="N88" s="46"/>
      <c r="O88" s="46"/>
      <c r="P88" s="46" t="s">
        <v>269</v>
      </c>
    </row>
    <row r="89" spans="1:16" ht="15" customHeight="1" x14ac:dyDescent="0.35">
      <c r="A89" s="46" t="s">
        <v>457</v>
      </c>
      <c r="B89" s="46" t="s">
        <v>458</v>
      </c>
      <c r="C89" s="46" t="s">
        <v>448</v>
      </c>
      <c r="D89" s="46" t="s">
        <v>459</v>
      </c>
      <c r="E89" s="46" t="s">
        <v>338</v>
      </c>
      <c r="F89" s="46" t="s">
        <v>460</v>
      </c>
      <c r="G89" s="46" t="s">
        <v>809</v>
      </c>
      <c r="H89" s="46" t="s">
        <v>15</v>
      </c>
      <c r="I89" s="46" t="s">
        <v>254</v>
      </c>
      <c r="J89" s="55">
        <v>45814</v>
      </c>
      <c r="K89" s="55">
        <v>46244</v>
      </c>
      <c r="L89" s="55">
        <v>46306</v>
      </c>
      <c r="M89" s="46">
        <v>16</v>
      </c>
      <c r="N89" s="46" t="s">
        <v>64</v>
      </c>
      <c r="O89" s="46" t="s">
        <v>369</v>
      </c>
      <c r="P89" s="46" t="s">
        <v>381</v>
      </c>
    </row>
    <row r="90" spans="1:16" ht="15" customHeight="1" x14ac:dyDescent="0.35">
      <c r="A90" s="46" t="s">
        <v>701</v>
      </c>
      <c r="B90" s="46" t="s">
        <v>851</v>
      </c>
      <c r="C90" s="46" t="s">
        <v>588</v>
      </c>
      <c r="D90" s="46" t="s">
        <v>702</v>
      </c>
      <c r="E90" s="46" t="s">
        <v>324</v>
      </c>
      <c r="F90" s="46" t="s">
        <v>599</v>
      </c>
      <c r="G90" s="46" t="s">
        <v>832</v>
      </c>
      <c r="H90" s="46" t="s">
        <v>15</v>
      </c>
      <c r="I90" s="46" t="s">
        <v>262</v>
      </c>
      <c r="J90" s="55">
        <v>45797</v>
      </c>
      <c r="K90" s="55">
        <v>46285</v>
      </c>
      <c r="L90" s="55">
        <v>46333</v>
      </c>
      <c r="M90" s="46">
        <v>9</v>
      </c>
      <c r="N90" s="46"/>
      <c r="O90" s="46" t="s">
        <v>369</v>
      </c>
      <c r="P90" s="46" t="s">
        <v>852</v>
      </c>
    </row>
    <row r="91" spans="1:16" ht="15" customHeight="1" x14ac:dyDescent="0.35">
      <c r="A91" s="46" t="s">
        <v>704</v>
      </c>
      <c r="B91" s="46" t="s">
        <v>393</v>
      </c>
      <c r="C91" s="46" t="s">
        <v>365</v>
      </c>
      <c r="D91" s="46" t="s">
        <v>705</v>
      </c>
      <c r="E91" s="46" t="s">
        <v>219</v>
      </c>
      <c r="F91" s="46" t="s">
        <v>395</v>
      </c>
      <c r="G91" s="46" t="s">
        <v>794</v>
      </c>
      <c r="H91" s="46" t="s">
        <v>397</v>
      </c>
      <c r="I91" s="46" t="s">
        <v>321</v>
      </c>
      <c r="J91" s="55">
        <v>45811</v>
      </c>
      <c r="K91" s="55">
        <v>46216</v>
      </c>
      <c r="L91" s="46"/>
      <c r="M91" s="46">
        <v>2</v>
      </c>
      <c r="N91" s="46" t="s">
        <v>78</v>
      </c>
      <c r="O91" s="46" t="s">
        <v>197</v>
      </c>
      <c r="P91" s="46" t="s">
        <v>852</v>
      </c>
    </row>
    <row r="92" spans="1:16" ht="15" customHeight="1" x14ac:dyDescent="0.35">
      <c r="A92" s="46" t="s">
        <v>706</v>
      </c>
      <c r="B92" s="46" t="s">
        <v>707</v>
      </c>
      <c r="C92" s="46" t="s">
        <v>498</v>
      </c>
      <c r="D92" s="46" t="s">
        <v>708</v>
      </c>
      <c r="E92" s="46" t="s">
        <v>290</v>
      </c>
      <c r="F92" s="46" t="s">
        <v>541</v>
      </c>
      <c r="G92" s="46" t="s">
        <v>824</v>
      </c>
      <c r="H92" s="46" t="s">
        <v>15</v>
      </c>
      <c r="I92" s="46" t="s">
        <v>262</v>
      </c>
      <c r="J92" s="55">
        <v>46292</v>
      </c>
      <c r="K92" s="55">
        <v>45970</v>
      </c>
      <c r="L92" s="55">
        <v>46290</v>
      </c>
      <c r="M92" s="46">
        <v>6</v>
      </c>
      <c r="N92" s="46" t="s">
        <v>64</v>
      </c>
      <c r="O92" s="46" t="s">
        <v>245</v>
      </c>
      <c r="P92" s="46" t="s">
        <v>852</v>
      </c>
    </row>
  </sheetData>
  <autoFilter ref="A1:P92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</sheetPr>
  <dimension ref="A1:AG200"/>
  <sheetViews>
    <sheetView tabSelected="1" zoomScaleNormal="100" workbookViewId="0">
      <pane ySplit="2" topLeftCell="A6" activePane="bottomLeft" state="frozen"/>
      <selection pane="bottomLeft" activeCell="F9" sqref="F9"/>
    </sheetView>
  </sheetViews>
  <sheetFormatPr defaultColWidth="8.6328125" defaultRowHeight="14.5" x14ac:dyDescent="0.35"/>
  <cols>
    <col min="1" max="1" width="52" customWidth="1"/>
    <col min="2" max="8" width="15" customWidth="1"/>
    <col min="27" max="33" width="12" customWidth="1"/>
  </cols>
  <sheetData>
    <row r="1" spans="1:33" ht="24" x14ac:dyDescent="0.35">
      <c r="A1" s="56" t="s">
        <v>853</v>
      </c>
      <c r="AA1" s="57" t="s">
        <v>854</v>
      </c>
      <c r="AB1" s="57" t="s">
        <v>855</v>
      </c>
      <c r="AC1" s="57" t="s">
        <v>856</v>
      </c>
      <c r="AD1" s="57" t="s">
        <v>857</v>
      </c>
      <c r="AE1" s="57" t="s">
        <v>858</v>
      </c>
      <c r="AF1" s="57" t="s">
        <v>859</v>
      </c>
      <c r="AG1" s="57" t="s">
        <v>860</v>
      </c>
    </row>
    <row r="2" spans="1:33" x14ac:dyDescent="0.35">
      <c r="A2" s="58" t="s">
        <v>861</v>
      </c>
      <c r="AA2" s="59">
        <f>IF(Clean_Data!A2="","",IFERROR(INDEX($D$7:$D$13,MATCH(Clean_Data!J2,$A$7:$A$13,0)),0))</f>
        <v>0</v>
      </c>
      <c r="AB2" s="59">
        <f>IF(Clean_Data!A2="","",IF(AND(AA2=1,Clean_Data!V2="Yes"),1,0))</f>
        <v>0</v>
      </c>
      <c r="AC2" s="59">
        <f>IF(Clean_Data!A2="","",IF(Clean_Data!W2="Yes",1,0))</f>
        <v>0</v>
      </c>
      <c r="AD2" s="59" t="str">
        <f>IF(AB2=1,Settings!$B$2-Clean_Data!N2+ROW()/100000,"")</f>
        <v/>
      </c>
      <c r="AE2" s="59" t="str">
        <f>IF(AC2=1,Clean_Data!U2+ROW()/100000,"")</f>
        <v/>
      </c>
      <c r="AF2" s="59">
        <f>IF(Clean_Data!A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2)))&gt;0,1,0))</f>
        <v>0</v>
      </c>
      <c r="AG2" s="59">
        <f>IF(Clean_Data!A2="","",IF(SUMPRODUCT(--ISNUMBER(SEARCH({"DATE_ORDER","DATE_FUTURE","FOLLOWUP_BEFORE"},Clean_Data!S2)))&gt;0,1,0))</f>
        <v>0</v>
      </c>
    </row>
    <row r="3" spans="1:33" x14ac:dyDescent="0.35">
      <c r="A3" s="60"/>
      <c r="B3" s="60"/>
      <c r="C3" s="60"/>
      <c r="D3" s="60"/>
      <c r="E3" s="60"/>
      <c r="F3" s="60"/>
      <c r="G3" s="60"/>
      <c r="H3" s="60"/>
      <c r="AA3" s="59">
        <f>IF(Clean_Data!A3="","",IFERROR(INDEX($D$7:$D$13,MATCH(Clean_Data!J3,$A$7:$A$13,0)),0))</f>
        <v>1</v>
      </c>
      <c r="AB3" s="59">
        <f>IF(Clean_Data!A3="","",IF(AND(AA3=1,Clean_Data!V3="Yes"),1,0))</f>
        <v>1</v>
      </c>
      <c r="AC3" s="59">
        <f>IF(Clean_Data!A3="","",IF(Clean_Data!W3="Yes",1,0))</f>
        <v>1</v>
      </c>
      <c r="AD3" s="59">
        <f>IF(AB3=1,Settings!$B$2-Clean_Data!N3+ROW()/100000,"")</f>
        <v>169.00003000000001</v>
      </c>
      <c r="AE3" s="59">
        <f>IF(AC3=1,Clean_Data!U3+ROW()/100000,"")</f>
        <v>223.00003000000001</v>
      </c>
      <c r="AF3" s="59">
        <f>IF(Clean_Data!A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3)))&gt;0,1,0))</f>
        <v>0</v>
      </c>
      <c r="AG3" s="59">
        <f>IF(Clean_Data!A3="","",IF(SUMPRODUCT(--ISNUMBER(SEARCH({"DATE_ORDER","DATE_FUTURE","FOLLOWUP_BEFORE"},Clean_Data!S3)))&gt;0,1,0))</f>
        <v>0</v>
      </c>
    </row>
    <row r="4" spans="1:33" x14ac:dyDescent="0.35">
      <c r="A4" s="60"/>
      <c r="B4" s="60"/>
      <c r="C4" s="60"/>
      <c r="D4" s="60"/>
      <c r="E4" s="60"/>
      <c r="F4" s="60"/>
      <c r="G4" s="60"/>
      <c r="H4" s="60"/>
      <c r="AA4" s="59">
        <f>IF(Clean_Data!A4="","",IFERROR(INDEX($D$7:$D$13,MATCH(Clean_Data!J4,$A$7:$A$13,0)),0))</f>
        <v>0</v>
      </c>
      <c r="AB4" s="59">
        <f>IF(Clean_Data!A4="","",IF(AND(AA4=1,Clean_Data!V4="Yes"),1,0))</f>
        <v>0</v>
      </c>
      <c r="AC4" s="59">
        <f>IF(Clean_Data!A4="","",IF(Clean_Data!W4="Yes",1,0))</f>
        <v>0</v>
      </c>
      <c r="AD4" s="59" t="str">
        <f>IF(AB4=1,Settings!$B$2-Clean_Data!N4+ROW()/100000,"")</f>
        <v/>
      </c>
      <c r="AE4" s="59" t="str">
        <f>IF(AC4=1,Clean_Data!U4+ROW()/100000,"")</f>
        <v/>
      </c>
      <c r="AF4" s="59">
        <f>IF(Clean_Data!A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4)))&gt;0,1,0))</f>
        <v>1</v>
      </c>
      <c r="AG4" s="59">
        <f>IF(Clean_Data!A4="","",IF(SUMPRODUCT(--ISNUMBER(SEARCH({"DATE_ORDER","DATE_FUTURE","FOLLOWUP_BEFORE"},Clean_Data!S4)))&gt;0,1,0))</f>
        <v>0</v>
      </c>
    </row>
    <row r="5" spans="1:33" x14ac:dyDescent="0.35">
      <c r="A5" s="61" t="s">
        <v>862</v>
      </c>
      <c r="B5" s="60"/>
      <c r="C5" s="60"/>
      <c r="D5" s="60"/>
      <c r="E5" s="60"/>
      <c r="F5" s="60"/>
      <c r="G5" s="60"/>
      <c r="H5" s="60"/>
      <c r="AA5" s="59">
        <f>IF(Clean_Data!A5="","",IFERROR(INDEX($D$7:$D$13,MATCH(Clean_Data!J5,$A$7:$A$13,0)),0))</f>
        <v>1</v>
      </c>
      <c r="AB5" s="59">
        <f>IF(Clean_Data!A5="","",IF(AND(AA5=1,Clean_Data!V5="Yes"),1,0))</f>
        <v>1</v>
      </c>
      <c r="AC5" s="59">
        <f>IF(Clean_Data!A5="","",IF(Clean_Data!W5="Yes",1,0))</f>
        <v>0</v>
      </c>
      <c r="AD5" s="59">
        <f>IF(AB5=1,Settings!$B$2-Clean_Data!N5+ROW()/100000,"")</f>
        <v>14.00005</v>
      </c>
      <c r="AE5" s="59" t="str">
        <f>IF(AC5=1,Clean_Data!U5+ROW()/100000,"")</f>
        <v/>
      </c>
      <c r="AF5" s="59">
        <f>IF(Clean_Data!A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5)))&gt;0,1,0))</f>
        <v>0</v>
      </c>
      <c r="AG5" s="59">
        <f>IF(Clean_Data!A5="","",IF(SUMPRODUCT(--ISNUMBER(SEARCH({"DATE_ORDER","DATE_FUTURE","FOLLOWUP_BEFORE"},Clean_Data!S5)))&gt;0,1,0))</f>
        <v>0</v>
      </c>
    </row>
    <row r="6" spans="1:33" ht="30" customHeight="1" x14ac:dyDescent="0.35">
      <c r="A6" s="62" t="s">
        <v>25</v>
      </c>
      <c r="B6" s="62" t="s">
        <v>13</v>
      </c>
      <c r="C6" s="62" t="s">
        <v>863</v>
      </c>
      <c r="D6" s="62" t="s">
        <v>864</v>
      </c>
      <c r="E6" s="62" t="s">
        <v>17</v>
      </c>
      <c r="F6" s="60"/>
      <c r="G6" s="60"/>
      <c r="H6" s="60"/>
      <c r="AA6" s="59">
        <f>IF(Clean_Data!A6="","",IFERROR(INDEX($D$7:$D$13,MATCH(Clean_Data!J6,$A$7:$A$13,0)),0))</f>
        <v>1</v>
      </c>
      <c r="AB6" s="59">
        <f>IF(Clean_Data!A6="","",IF(AND(AA6=1,Clean_Data!V6="Yes"),1,0))</f>
        <v>1</v>
      </c>
      <c r="AC6" s="59">
        <f>IF(Clean_Data!A6="","",IF(Clean_Data!W6="Yes",1,0))</f>
        <v>0</v>
      </c>
      <c r="AD6" s="59">
        <f>IF(AB6=1,Settings!$B$2-Clean_Data!N6+ROW()/100000,"")</f>
        <v>6.0000600000000004</v>
      </c>
      <c r="AE6" s="59" t="str">
        <f>IF(AC6=1,Clean_Data!U6+ROW()/100000,"")</f>
        <v/>
      </c>
      <c r="AF6" s="59">
        <f>IF(Clean_Data!A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6)))&gt;0,1,0))</f>
        <v>0</v>
      </c>
      <c r="AG6" s="59">
        <f>IF(Clean_Data!A6="","",IF(SUMPRODUCT(--ISNUMBER(SEARCH({"DATE_ORDER","DATE_FUTURE","FOLLOWUP_BEFORE"},Clean_Data!S6)))&gt;0,1,0))</f>
        <v>0</v>
      </c>
    </row>
    <row r="7" spans="1:33" x14ac:dyDescent="0.35">
      <c r="A7" s="60" t="s">
        <v>223</v>
      </c>
      <c r="B7" s="60">
        <f>COUNTIF(Clean_Data!$J$2:$J$200,A7)</f>
        <v>10</v>
      </c>
      <c r="C7" s="63">
        <f t="shared" ref="C7:C13" si="0">IF($B$14=0,0,B7/$B$14)</f>
        <v>0.11904761904761904</v>
      </c>
      <c r="D7" s="64">
        <v>0</v>
      </c>
      <c r="E7" s="60">
        <f>SUMIFS($AB$2:$AB$200,Clean_Data!$J$2:$J$200,A7)</f>
        <v>0</v>
      </c>
      <c r="F7" s="60"/>
      <c r="G7" s="60"/>
      <c r="H7" s="60"/>
      <c r="AA7" s="59">
        <f>IF(Clean_Data!A7="","",IFERROR(INDEX($D$7:$D$13,MATCH(Clean_Data!J7,$A$7:$A$13,0)),0))</f>
        <v>0</v>
      </c>
      <c r="AB7" s="59">
        <f>IF(Clean_Data!A7="","",IF(AND(AA7=1,Clean_Data!V7="Yes"),1,0))</f>
        <v>0</v>
      </c>
      <c r="AC7" s="59">
        <f>IF(Clean_Data!A7="","",IF(Clean_Data!W7="Yes",1,0))</f>
        <v>0</v>
      </c>
      <c r="AD7" s="59" t="str">
        <f>IF(AB7=1,Settings!$B$2-Clean_Data!N7+ROW()/100000,"")</f>
        <v/>
      </c>
      <c r="AE7" s="59" t="str">
        <f>IF(AC7=1,Clean_Data!U7+ROW()/100000,"")</f>
        <v/>
      </c>
      <c r="AF7" s="59">
        <f>IF(Clean_Data!A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7)))&gt;0,1,0))</f>
        <v>1</v>
      </c>
      <c r="AG7" s="59">
        <f>IF(Clean_Data!A7="","",IF(SUMPRODUCT(--ISNUMBER(SEARCH({"DATE_ORDER","DATE_FUTURE","FOLLOWUP_BEFORE"},Clean_Data!S7)))&gt;0,1,0))</f>
        <v>0</v>
      </c>
    </row>
    <row r="8" spans="1:33" x14ac:dyDescent="0.35">
      <c r="A8" s="60" t="s">
        <v>234</v>
      </c>
      <c r="B8" s="60">
        <f>COUNTIF(Clean_Data!$J$2:$J$200,A8)</f>
        <v>15</v>
      </c>
      <c r="C8" s="63">
        <f t="shared" si="0"/>
        <v>0.17857142857142858</v>
      </c>
      <c r="D8" s="64">
        <v>1</v>
      </c>
      <c r="E8" s="60">
        <f>SUMIFS($AB$2:$AB$200,Clean_Data!$J$2:$J$200,A8)</f>
        <v>7</v>
      </c>
      <c r="F8" s="60"/>
      <c r="G8" s="60"/>
      <c r="H8" s="60"/>
      <c r="AA8" s="59">
        <f>IF(Clean_Data!A8="","",IFERROR(INDEX($D$7:$D$13,MATCH(Clean_Data!J8,$A$7:$A$13,0)),0))</f>
        <v>1</v>
      </c>
      <c r="AB8" s="59">
        <f>IF(Clean_Data!A8="","",IF(AND(AA8=1,Clean_Data!V8="Yes"),1,0))</f>
        <v>0</v>
      </c>
      <c r="AC8" s="59">
        <f>IF(Clean_Data!A8="","",IF(Clean_Data!W8="Yes",1,0))</f>
        <v>0</v>
      </c>
      <c r="AD8" s="59" t="str">
        <f>IF(AB8=1,Settings!$B$2-Clean_Data!N8+ROW()/100000,"")</f>
        <v/>
      </c>
      <c r="AE8" s="59" t="str">
        <f>IF(AC8=1,Clean_Data!U8+ROW()/100000,"")</f>
        <v/>
      </c>
      <c r="AF8" s="59">
        <f>IF(Clean_Data!A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8)))&gt;0,1,0))</f>
        <v>1</v>
      </c>
      <c r="AG8" s="59">
        <f>IF(Clean_Data!A8="","",IF(SUMPRODUCT(--ISNUMBER(SEARCH({"DATE_ORDER","DATE_FUTURE","FOLLOWUP_BEFORE"},Clean_Data!S8)))&gt;0,1,0))</f>
        <v>0</v>
      </c>
    </row>
    <row r="9" spans="1:33" x14ac:dyDescent="0.35">
      <c r="A9" s="60" t="s">
        <v>261</v>
      </c>
      <c r="B9" s="60">
        <f>COUNTIF(Clean_Data!$J$2:$J$200,A9)</f>
        <v>14</v>
      </c>
      <c r="C9" s="63">
        <f t="shared" si="0"/>
        <v>0.16666666666666666</v>
      </c>
      <c r="D9" s="64">
        <v>1</v>
      </c>
      <c r="E9" s="60">
        <f>SUMIFS($AB$2:$AB$200,Clean_Data!$J$2:$J$200,A9)</f>
        <v>5</v>
      </c>
      <c r="F9" s="60"/>
      <c r="G9" s="60"/>
      <c r="H9" s="60"/>
      <c r="AA9" s="59">
        <f>IF(Clean_Data!A9="","",IFERROR(INDEX($D$7:$D$13,MATCH(Clean_Data!J9,$A$7:$A$13,0)),0))</f>
        <v>1</v>
      </c>
      <c r="AB9" s="59">
        <f>IF(Clean_Data!A9="","",IF(AND(AA9=1,Clean_Data!V9="Yes"),1,0))</f>
        <v>0</v>
      </c>
      <c r="AC9" s="59">
        <f>IF(Clean_Data!A9="","",IF(Clean_Data!W9="Yes",1,0))</f>
        <v>0</v>
      </c>
      <c r="AD9" s="59" t="str">
        <f>IF(AB9=1,Settings!$B$2-Clean_Data!N9+ROW()/100000,"")</f>
        <v/>
      </c>
      <c r="AE9" s="59" t="str">
        <f>IF(AC9=1,Clean_Data!U9+ROW()/100000,"")</f>
        <v/>
      </c>
      <c r="AF9" s="59">
        <f>IF(Clean_Data!A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9)))&gt;0,1,0))</f>
        <v>1</v>
      </c>
      <c r="AG9" s="59">
        <f>IF(Clean_Data!A9="","",IF(SUMPRODUCT(--ISNUMBER(SEARCH({"DATE_ORDER","DATE_FUTURE","FOLLOWUP_BEFORE"},Clean_Data!S9)))&gt;0,1,0))</f>
        <v>0</v>
      </c>
    </row>
    <row r="10" spans="1:33" x14ac:dyDescent="0.35">
      <c r="A10" s="60" t="s">
        <v>284</v>
      </c>
      <c r="B10" s="60">
        <f>COUNTIF(Clean_Data!$J$2:$J$200,A10)</f>
        <v>11</v>
      </c>
      <c r="C10" s="63">
        <f t="shared" si="0"/>
        <v>0.13095238095238096</v>
      </c>
      <c r="D10" s="64">
        <v>1</v>
      </c>
      <c r="E10" s="60">
        <f>SUMIFS($AB$2:$AB$200,Clean_Data!$J$2:$J$200,A10)</f>
        <v>6</v>
      </c>
      <c r="F10" s="60"/>
      <c r="G10" s="60"/>
      <c r="H10" s="60"/>
      <c r="AA10" s="59">
        <f>IF(Clean_Data!A10="","",IFERROR(INDEX($D$7:$D$13,MATCH(Clean_Data!J10,$A$7:$A$13,0)),0))</f>
        <v>0</v>
      </c>
      <c r="AB10" s="59">
        <f>IF(Clean_Data!A10="","",IF(AND(AA10=1,Clean_Data!V10="Yes"),1,0))</f>
        <v>0</v>
      </c>
      <c r="AC10" s="59">
        <f>IF(Clean_Data!A10="","",IF(Clean_Data!W10="Yes",1,0))</f>
        <v>0</v>
      </c>
      <c r="AD10" s="59" t="str">
        <f>IF(AB10=1,Settings!$B$2-Clean_Data!N10+ROW()/100000,"")</f>
        <v/>
      </c>
      <c r="AE10" s="59" t="str">
        <f>IF(AC10=1,Clean_Data!U10+ROW()/100000,"")</f>
        <v/>
      </c>
      <c r="AF10" s="59">
        <f>IF(Clean_Data!A10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10)))&gt;0,1,0))</f>
        <v>1</v>
      </c>
      <c r="AG10" s="59">
        <f>IF(Clean_Data!A10="","",IF(SUMPRODUCT(--ISNUMBER(SEARCH({"DATE_ORDER","DATE_FUTURE","FOLLOWUP_BEFORE"},Clean_Data!S10)))&gt;0,1,0))</f>
        <v>0</v>
      </c>
    </row>
    <row r="11" spans="1:33" x14ac:dyDescent="0.35">
      <c r="A11" s="60" t="s">
        <v>15</v>
      </c>
      <c r="B11" s="60">
        <f>COUNTIF(Clean_Data!$J$2:$J$200,A11)</f>
        <v>19</v>
      </c>
      <c r="C11" s="63">
        <f t="shared" si="0"/>
        <v>0.22619047619047619</v>
      </c>
      <c r="D11" s="64">
        <v>1</v>
      </c>
      <c r="E11" s="60">
        <f>SUMIFS($AB$2:$AB$200,Clean_Data!$J$2:$J$200,A11)</f>
        <v>12</v>
      </c>
      <c r="F11" s="60"/>
      <c r="G11" s="60"/>
      <c r="H11" s="60"/>
      <c r="AA11" s="59">
        <f>IF(Clean_Data!A11="","",IFERROR(INDEX($D$7:$D$13,MATCH(Clean_Data!J11,$A$7:$A$13,0)),0))</f>
        <v>1</v>
      </c>
      <c r="AB11" s="59">
        <f>IF(Clean_Data!A11="","",IF(AND(AA11=1,Clean_Data!V11="Yes"),1,0))</f>
        <v>0</v>
      </c>
      <c r="AC11" s="59">
        <f>IF(Clean_Data!A11="","",IF(Clean_Data!W11="Yes",1,0))</f>
        <v>0</v>
      </c>
      <c r="AD11" s="59" t="str">
        <f>IF(AB11=1,Settings!$B$2-Clean_Data!N11+ROW()/100000,"")</f>
        <v/>
      </c>
      <c r="AE11" s="59" t="str">
        <f>IF(AC11=1,Clean_Data!U11+ROW()/100000,"")</f>
        <v/>
      </c>
      <c r="AF11" s="59">
        <f>IF(Clean_Data!A11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11)))&gt;0,1,0))</f>
        <v>1</v>
      </c>
      <c r="AG11" s="59">
        <f>IF(Clean_Data!A11="","",IF(SUMPRODUCT(--ISNUMBER(SEARCH({"DATE_ORDER","DATE_FUTURE","FOLLOWUP_BEFORE"},Clean_Data!S11)))&gt;0,1,0))</f>
        <v>0</v>
      </c>
    </row>
    <row r="12" spans="1:33" x14ac:dyDescent="0.35">
      <c r="A12" s="60" t="s">
        <v>243</v>
      </c>
      <c r="B12" s="60">
        <f>COUNTIF(Clean_Data!$J$2:$J$200,A12)</f>
        <v>11</v>
      </c>
      <c r="C12" s="63">
        <f t="shared" si="0"/>
        <v>0.13095238095238096</v>
      </c>
      <c r="D12" s="64">
        <v>0</v>
      </c>
      <c r="E12" s="60">
        <f>SUMIFS($AB$2:$AB$200,Clean_Data!$J$2:$J$200,A12)</f>
        <v>0</v>
      </c>
      <c r="F12" s="60"/>
      <c r="G12" s="60"/>
      <c r="H12" s="60"/>
      <c r="AA12" s="59">
        <f>IF(Clean_Data!A12="","",IFERROR(INDEX($D$7:$D$13,MATCH(Clean_Data!J12,$A$7:$A$13,0)),0))</f>
        <v>0</v>
      </c>
      <c r="AB12" s="59">
        <f>IF(Clean_Data!A12="","",IF(AND(AA12=1,Clean_Data!V12="Yes"),1,0))</f>
        <v>0</v>
      </c>
      <c r="AC12" s="59">
        <f>IF(Clean_Data!A12="","",IF(Clean_Data!W12="Yes",1,0))</f>
        <v>0</v>
      </c>
      <c r="AD12" s="59" t="str">
        <f>IF(AB12=1,Settings!$B$2-Clean_Data!N12+ROW()/100000,"")</f>
        <v/>
      </c>
      <c r="AE12" s="59" t="str">
        <f>IF(AC12=1,Clean_Data!U12+ROW()/100000,"")</f>
        <v/>
      </c>
      <c r="AF12" s="59">
        <f>IF(Clean_Data!A12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12)))&gt;0,1,0))</f>
        <v>0</v>
      </c>
      <c r="AG12" s="59">
        <f>IF(Clean_Data!A12="","",IF(SUMPRODUCT(--ISNUMBER(SEARCH({"DATE_ORDER","DATE_FUTURE","FOLLOWUP_BEFORE"},Clean_Data!S12)))&gt;0,1,0))</f>
        <v>0</v>
      </c>
    </row>
    <row r="13" spans="1:33" x14ac:dyDescent="0.35">
      <c r="A13" s="60" t="s">
        <v>397</v>
      </c>
      <c r="B13" s="60">
        <f>COUNTIF(Clean_Data!$J$2:$J$200,A13)</f>
        <v>4</v>
      </c>
      <c r="C13" s="63">
        <f t="shared" si="0"/>
        <v>4.7619047619047616E-2</v>
      </c>
      <c r="D13" s="64">
        <v>0</v>
      </c>
      <c r="E13" s="60">
        <f>SUMIFS($AB$2:$AB$200,Clean_Data!$J$2:$J$200,A13)</f>
        <v>0</v>
      </c>
      <c r="F13" s="60"/>
      <c r="G13" s="60"/>
      <c r="H13" s="60"/>
      <c r="AA13" s="59">
        <f>IF(Clean_Data!A13="","",IFERROR(INDEX($D$7:$D$13,MATCH(Clean_Data!J13,$A$7:$A$13,0)),0))</f>
        <v>1</v>
      </c>
      <c r="AB13" s="59">
        <f>IF(Clean_Data!A13="","",IF(AND(AA13=1,Clean_Data!V13="Yes"),1,0))</f>
        <v>1</v>
      </c>
      <c r="AC13" s="59">
        <f>IF(Clean_Data!A13="","",IF(Clean_Data!W13="Yes",1,0))</f>
        <v>1</v>
      </c>
      <c r="AD13" s="59">
        <f>IF(AB13=1,Settings!$B$2-Clean_Data!N13+ROW()/100000,"")</f>
        <v>86.000129999999999</v>
      </c>
      <c r="AE13" s="59">
        <f>IF(AC13=1,Clean_Data!U13+ROW()/100000,"")</f>
        <v>106.00013</v>
      </c>
      <c r="AF13" s="59">
        <f>IF(Clean_Data!A13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13)))&gt;0,1,0))</f>
        <v>0</v>
      </c>
      <c r="AG13" s="59">
        <f>IF(Clean_Data!A13="","",IF(SUMPRODUCT(--ISNUMBER(SEARCH({"DATE_ORDER","DATE_FUTURE","FOLLOWUP_BEFORE"},Clean_Data!S13)))&gt;0,1,0))</f>
        <v>0</v>
      </c>
    </row>
    <row r="14" spans="1:33" x14ac:dyDescent="0.35">
      <c r="A14" s="65" t="s">
        <v>865</v>
      </c>
      <c r="B14" s="65">
        <f>SUM(B7:B13)</f>
        <v>84</v>
      </c>
      <c r="C14" s="66">
        <f>SUM(C7:C13)</f>
        <v>1</v>
      </c>
      <c r="D14" s="60"/>
      <c r="E14" s="65">
        <f>SUM(E7:E13)</f>
        <v>30</v>
      </c>
      <c r="F14" s="60"/>
      <c r="G14" s="60"/>
      <c r="H14" s="60"/>
      <c r="AA14" s="59">
        <f>IF(Clean_Data!A14="","",IFERROR(INDEX($D$7:$D$13,MATCH(Clean_Data!J14,$A$7:$A$13,0)),0))</f>
        <v>1</v>
      </c>
      <c r="AB14" s="59">
        <f>IF(Clean_Data!A14="","",IF(AND(AA14=1,Clean_Data!V14="Yes"),1,0))</f>
        <v>0</v>
      </c>
      <c r="AC14" s="59">
        <f>IF(Clean_Data!A14="","",IF(Clean_Data!W14="Yes",1,0))</f>
        <v>0</v>
      </c>
      <c r="AD14" s="59" t="str">
        <f>IF(AB14=1,Settings!$B$2-Clean_Data!N14+ROW()/100000,"")</f>
        <v/>
      </c>
      <c r="AE14" s="59" t="str">
        <f>IF(AC14=1,Clean_Data!U14+ROW()/100000,"")</f>
        <v/>
      </c>
      <c r="AF14" s="59">
        <f>IF(Clean_Data!A14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14)))&gt;0,1,0))</f>
        <v>0</v>
      </c>
      <c r="AG14" s="59">
        <f>IF(Clean_Data!A14="","",IF(SUMPRODUCT(--ISNUMBER(SEARCH({"DATE_ORDER","DATE_FUTURE","FOLLOWUP_BEFORE"},Clean_Data!S14)))&gt;0,1,0))</f>
        <v>0</v>
      </c>
    </row>
    <row r="15" spans="1:33" x14ac:dyDescent="0.35">
      <c r="A15" s="67" t="s">
        <v>866</v>
      </c>
      <c r="B15" s="60"/>
      <c r="C15" s="60"/>
      <c r="D15" s="60"/>
      <c r="E15" s="60"/>
      <c r="F15" s="60"/>
      <c r="G15" s="60"/>
      <c r="H15" s="60"/>
      <c r="AA15" s="59">
        <f>IF(Clean_Data!A15="","",IFERROR(INDEX($D$7:$D$13,MATCH(Clean_Data!J15,$A$7:$A$13,0)),0))</f>
        <v>1</v>
      </c>
      <c r="AB15" s="59">
        <f>IF(Clean_Data!A15="","",IF(AND(AA15=1,Clean_Data!V15="Yes"),1,0))</f>
        <v>0</v>
      </c>
      <c r="AC15" s="59">
        <f>IF(Clean_Data!A15="","",IF(Clean_Data!W15="Yes",1,0))</f>
        <v>0</v>
      </c>
      <c r="AD15" s="59" t="str">
        <f>IF(AB15=1,Settings!$B$2-Clean_Data!N15+ROW()/100000,"")</f>
        <v/>
      </c>
      <c r="AE15" s="59" t="str">
        <f>IF(AC15=1,Clean_Data!U15+ROW()/100000,"")</f>
        <v/>
      </c>
      <c r="AF15" s="59">
        <f>IF(Clean_Data!A15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15)))&gt;0,1,0))</f>
        <v>1</v>
      </c>
      <c r="AG15" s="59">
        <f>IF(Clean_Data!A15="","",IF(SUMPRODUCT(--ISNUMBER(SEARCH({"DATE_ORDER","DATE_FUTURE","FOLLOWUP_BEFORE"},Clean_Data!S15)))&gt;0,1,0))</f>
        <v>1</v>
      </c>
    </row>
    <row r="16" spans="1:33" x14ac:dyDescent="0.35">
      <c r="A16" s="60"/>
      <c r="B16" s="60"/>
      <c r="C16" s="60"/>
      <c r="D16" s="60"/>
      <c r="E16" s="60"/>
      <c r="F16" s="60"/>
      <c r="G16" s="60"/>
      <c r="H16" s="60"/>
      <c r="AA16" s="59">
        <f>IF(Clean_Data!A16="","",IFERROR(INDEX($D$7:$D$13,MATCH(Clean_Data!J16,$A$7:$A$13,0)),0))</f>
        <v>1</v>
      </c>
      <c r="AB16" s="59">
        <f>IF(Clean_Data!A16="","",IF(AND(AA16=1,Clean_Data!V16="Yes"),1,0))</f>
        <v>0</v>
      </c>
      <c r="AC16" s="59">
        <f>IF(Clean_Data!A16="","",IF(Clean_Data!W16="Yes",1,0))</f>
        <v>0</v>
      </c>
      <c r="AD16" s="59" t="str">
        <f>IF(AB16=1,Settings!$B$2-Clean_Data!N16+ROW()/100000,"")</f>
        <v/>
      </c>
      <c r="AE16" s="59" t="str">
        <f>IF(AC16=1,Clean_Data!U16+ROW()/100000,"")</f>
        <v/>
      </c>
      <c r="AF16" s="59">
        <f>IF(Clean_Data!A16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16)))&gt;0,1,0))</f>
        <v>0</v>
      </c>
      <c r="AG16" s="59">
        <f>IF(Clean_Data!A16="","",IF(SUMPRODUCT(--ISNUMBER(SEARCH({"DATE_ORDER","DATE_FUTURE","FOLLOWUP_BEFORE"},Clean_Data!S16)))&gt;0,1,0))</f>
        <v>0</v>
      </c>
    </row>
    <row r="17" spans="1:33" x14ac:dyDescent="0.35">
      <c r="A17" s="61" t="s">
        <v>867</v>
      </c>
      <c r="B17" s="60"/>
      <c r="C17" s="60"/>
      <c r="D17" s="60"/>
      <c r="E17" s="60"/>
      <c r="F17" s="60"/>
      <c r="G17" s="60"/>
      <c r="H17" s="60"/>
      <c r="AA17" s="59">
        <f>IF(Clean_Data!A17="","",IFERROR(INDEX($D$7:$D$13,MATCH(Clean_Data!J17,$A$7:$A$13,0)),0))</f>
        <v>1</v>
      </c>
      <c r="AB17" s="59">
        <f>IF(Clean_Data!A17="","",IF(AND(AA17=1,Clean_Data!V17="Yes"),1,0))</f>
        <v>0</v>
      </c>
      <c r="AC17" s="59">
        <f>IF(Clean_Data!A17="","",IF(Clean_Data!W17="Yes",1,0))</f>
        <v>0</v>
      </c>
      <c r="AD17" s="59" t="str">
        <f>IF(AB17=1,Settings!$B$2-Clean_Data!N17+ROW()/100000,"")</f>
        <v/>
      </c>
      <c r="AE17" s="59" t="str">
        <f>IF(AC17=1,Clean_Data!U17+ROW()/100000,"")</f>
        <v/>
      </c>
      <c r="AF17" s="59">
        <f>IF(Clean_Data!A17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17)))&gt;0,1,0))</f>
        <v>1</v>
      </c>
      <c r="AG17" s="59">
        <f>IF(Clean_Data!A17="","",IF(SUMPRODUCT(--ISNUMBER(SEARCH({"DATE_ORDER","DATE_FUTURE","FOLLOWUP_BEFORE"},Clean_Data!S17)))&gt;0,1,0))</f>
        <v>0</v>
      </c>
    </row>
    <row r="18" spans="1:33" ht="42" customHeight="1" x14ac:dyDescent="0.35">
      <c r="A18" s="62" t="s">
        <v>12</v>
      </c>
      <c r="B18" s="62" t="s">
        <v>13</v>
      </c>
      <c r="C18" s="62" t="s">
        <v>14</v>
      </c>
      <c r="D18" s="62" t="s">
        <v>15</v>
      </c>
      <c r="E18" s="62" t="s">
        <v>868</v>
      </c>
      <c r="F18" s="62" t="s">
        <v>17</v>
      </c>
      <c r="G18" s="62" t="s">
        <v>869</v>
      </c>
      <c r="H18" s="62" t="s">
        <v>870</v>
      </c>
      <c r="AA18" s="59">
        <f>IF(Clean_Data!A18="","",IFERROR(INDEX($D$7:$D$13,MATCH(Clean_Data!J18,$A$7:$A$13,0)),0))</f>
        <v>0</v>
      </c>
      <c r="AB18" s="59">
        <f>IF(Clean_Data!A18="","",IF(AND(AA18=1,Clean_Data!V18="Yes"),1,0))</f>
        <v>0</v>
      </c>
      <c r="AC18" s="59">
        <f>IF(Clean_Data!A18="","",IF(Clean_Data!W18="Yes",1,0))</f>
        <v>0</v>
      </c>
      <c r="AD18" s="59" t="str">
        <f>IF(AB18=1,Settings!$B$2-Clean_Data!N18+ROW()/100000,"")</f>
        <v/>
      </c>
      <c r="AE18" s="59" t="str">
        <f>IF(AC18=1,Clean_Data!U18+ROW()/100000,"")</f>
        <v/>
      </c>
      <c r="AF18" s="59">
        <f>IF(Clean_Data!A18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18)))&gt;0,1,0))</f>
        <v>0</v>
      </c>
      <c r="AG18" s="59">
        <f>IF(Clean_Data!A18="","",IF(SUMPRODUCT(--ISNUMBER(SEARCH({"DATE_ORDER","DATE_FUTURE","FOLLOWUP_BEFORE"},Clean_Data!S18)))&gt;0,1,0))</f>
        <v>0</v>
      </c>
    </row>
    <row r="19" spans="1:33" x14ac:dyDescent="0.35">
      <c r="A19" s="60" t="s">
        <v>217</v>
      </c>
      <c r="B19" s="60">
        <f>COUNTIF(Clean_Data!$C$2:$C$200,A19)</f>
        <v>21</v>
      </c>
      <c r="C19" s="60">
        <f>SUMIFS($AA$2:$AA$200,Clean_Data!$C$2:$C$200,A19)</f>
        <v>14</v>
      </c>
      <c r="D19" s="60">
        <f>COUNTIFS(Clean_Data!$C$2:$C$200,A19,Clean_Data!$J$2:$J$200,"Engaged")</f>
        <v>3</v>
      </c>
      <c r="E19" s="63">
        <f t="shared" ref="E19:E25" si="1">IF(B19=0,0,D19/B19)</f>
        <v>0.14285714285714285</v>
      </c>
      <c r="F19" s="60">
        <f>SUMIFS($AB$2:$AB$200,Clean_Data!$C$2:$C$200,A19)</f>
        <v>6</v>
      </c>
      <c r="G19" s="63">
        <f t="shared" ref="G19:G25" si="2">IF(C19=0,0,F19/C19)</f>
        <v>0.42857142857142855</v>
      </c>
      <c r="H19" s="60">
        <f>SUMIFS($AC$2:$AC$200,Clean_Data!$C$2:$C$200,A19)</f>
        <v>4</v>
      </c>
      <c r="AA19" s="59">
        <f>IF(Clean_Data!A19="","",IFERROR(INDEX($D$7:$D$13,MATCH(Clean_Data!J19,$A$7:$A$13,0)),0))</f>
        <v>1</v>
      </c>
      <c r="AB19" s="59">
        <f>IF(Clean_Data!A19="","",IF(AND(AA19=1,Clean_Data!V19="Yes"),1,0))</f>
        <v>1</v>
      </c>
      <c r="AC19" s="59">
        <f>IF(Clean_Data!A19="","",IF(Clean_Data!W19="Yes",1,0))</f>
        <v>1</v>
      </c>
      <c r="AD19" s="59">
        <f>IF(AB19=1,Settings!$B$2-Clean_Data!N19+ROW()/100000,"")</f>
        <v>173.00019</v>
      </c>
      <c r="AE19" s="59">
        <f>IF(AC19=1,Clean_Data!U19+ROW()/100000,"")</f>
        <v>214.00019</v>
      </c>
      <c r="AF19" s="59">
        <f>IF(Clean_Data!A19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19)))&gt;0,1,0))</f>
        <v>1</v>
      </c>
      <c r="AG19" s="59">
        <f>IF(Clean_Data!A19="","",IF(SUMPRODUCT(--ISNUMBER(SEARCH({"DATE_ORDER","DATE_FUTURE","FOLLOWUP_BEFORE"},Clean_Data!S19)))&gt;0,1,0))</f>
        <v>0</v>
      </c>
    </row>
    <row r="20" spans="1:33" x14ac:dyDescent="0.35">
      <c r="A20" s="60" t="s">
        <v>365</v>
      </c>
      <c r="B20" s="60">
        <f>COUNTIF(Clean_Data!$C$2:$C$200,A20)</f>
        <v>15</v>
      </c>
      <c r="C20" s="60">
        <f>SUMIFS($AA$2:$AA$200,Clean_Data!$C$2:$C$200,A20)</f>
        <v>12</v>
      </c>
      <c r="D20" s="60">
        <f>COUNTIFS(Clean_Data!$C$2:$C$200,A20,Clean_Data!$J$2:$J$200,"Engaged")</f>
        <v>3</v>
      </c>
      <c r="E20" s="63">
        <f t="shared" si="1"/>
        <v>0.2</v>
      </c>
      <c r="F20" s="60">
        <f>SUMIFS($AB$2:$AB$200,Clean_Data!$C$2:$C$200,A20)</f>
        <v>7</v>
      </c>
      <c r="G20" s="63">
        <f t="shared" si="2"/>
        <v>0.58333333333333337</v>
      </c>
      <c r="H20" s="60">
        <f>SUMIFS($AC$2:$AC$200,Clean_Data!$C$2:$C$200,A20)</f>
        <v>1</v>
      </c>
      <c r="AA20" s="59">
        <f>IF(Clean_Data!A20="","",IFERROR(INDEX($D$7:$D$13,MATCH(Clean_Data!J20,$A$7:$A$13,0)),0))</f>
        <v>0</v>
      </c>
      <c r="AB20" s="59">
        <f>IF(Clean_Data!A20="","",IF(AND(AA20=1,Clean_Data!V20="Yes"),1,0))</f>
        <v>0</v>
      </c>
      <c r="AC20" s="59">
        <f>IF(Clean_Data!A20="","",IF(Clean_Data!W20="Yes",1,0))</f>
        <v>0</v>
      </c>
      <c r="AD20" s="59" t="str">
        <f>IF(AB20=1,Settings!$B$2-Clean_Data!N20+ROW()/100000,"")</f>
        <v/>
      </c>
      <c r="AE20" s="59" t="str">
        <f>IF(AC20=1,Clean_Data!U20+ROW()/100000,"")</f>
        <v/>
      </c>
      <c r="AF20" s="59">
        <f>IF(Clean_Data!A20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20)))&gt;0,1,0))</f>
        <v>0</v>
      </c>
      <c r="AG20" s="59">
        <f>IF(Clean_Data!A20="","",IF(SUMPRODUCT(--ISNUMBER(SEARCH({"DATE_ORDER","DATE_FUTURE","FOLLOWUP_BEFORE"},Clean_Data!S20)))&gt;0,1,0))</f>
        <v>0</v>
      </c>
    </row>
    <row r="21" spans="1:33" x14ac:dyDescent="0.35">
      <c r="A21" s="60" t="s">
        <v>498</v>
      </c>
      <c r="B21" s="60">
        <f>COUNTIF(Clean_Data!$C$2:$C$200,A21)</f>
        <v>15</v>
      </c>
      <c r="C21" s="60">
        <f>SUMIFS($AA$2:$AA$200,Clean_Data!$C$2:$C$200,A21)</f>
        <v>10</v>
      </c>
      <c r="D21" s="60">
        <f>COUNTIFS(Clean_Data!$C$2:$C$200,A21,Clean_Data!$J$2:$J$200,"Engaged")</f>
        <v>6</v>
      </c>
      <c r="E21" s="63">
        <f t="shared" si="1"/>
        <v>0.4</v>
      </c>
      <c r="F21" s="60">
        <f>SUMIFS($AB$2:$AB$200,Clean_Data!$C$2:$C$200,A21)</f>
        <v>8</v>
      </c>
      <c r="G21" s="63">
        <f t="shared" si="2"/>
        <v>0.8</v>
      </c>
      <c r="H21" s="60">
        <f>SUMIFS($AC$2:$AC$200,Clean_Data!$C$2:$C$200,A21)</f>
        <v>4</v>
      </c>
      <c r="AA21" s="59">
        <f>IF(Clean_Data!A21="","",IFERROR(INDEX($D$7:$D$13,MATCH(Clean_Data!J21,$A$7:$A$13,0)),0))</f>
        <v>1</v>
      </c>
      <c r="AB21" s="59">
        <f>IF(Clean_Data!A21="","",IF(AND(AA21=1,Clean_Data!V21="Yes"),1,0))</f>
        <v>1</v>
      </c>
      <c r="AC21" s="59">
        <f>IF(Clean_Data!A21="","",IF(Clean_Data!W21="Yes",1,0))</f>
        <v>1</v>
      </c>
      <c r="AD21" s="59">
        <f>IF(AB21=1,Settings!$B$2-Clean_Data!N21+ROW()/100000,"")</f>
        <v>179.00021000000001</v>
      </c>
      <c r="AE21" s="59">
        <f>IF(AC21=1,Clean_Data!U21+ROW()/100000,"")</f>
        <v>218.00021000000001</v>
      </c>
      <c r="AF21" s="59">
        <f>IF(Clean_Data!A21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21)))&gt;0,1,0))</f>
        <v>0</v>
      </c>
      <c r="AG21" s="59">
        <f>IF(Clean_Data!A21="","",IF(SUMPRODUCT(--ISNUMBER(SEARCH({"DATE_ORDER","DATE_FUTURE","FOLLOWUP_BEFORE"},Clean_Data!S21)))&gt;0,1,0))</f>
        <v>0</v>
      </c>
    </row>
    <row r="22" spans="1:33" x14ac:dyDescent="0.35">
      <c r="A22" s="60" t="s">
        <v>588</v>
      </c>
      <c r="B22" s="60">
        <f>COUNTIF(Clean_Data!$C$2:$C$200,A22)</f>
        <v>14</v>
      </c>
      <c r="C22" s="60">
        <f>SUMIFS($AA$2:$AA$200,Clean_Data!$C$2:$C$200,A22)</f>
        <v>11</v>
      </c>
      <c r="D22" s="60">
        <f>COUNTIFS(Clean_Data!$C$2:$C$200,A22,Clean_Data!$J$2:$J$200,"Engaged")</f>
        <v>3</v>
      </c>
      <c r="E22" s="63">
        <f t="shared" si="1"/>
        <v>0.21428571428571427</v>
      </c>
      <c r="F22" s="60">
        <f>SUMIFS($AB$2:$AB$200,Clean_Data!$C$2:$C$200,A22)</f>
        <v>4</v>
      </c>
      <c r="G22" s="63">
        <f t="shared" si="2"/>
        <v>0.36363636363636365</v>
      </c>
      <c r="H22" s="60">
        <f>SUMIFS($AC$2:$AC$200,Clean_Data!$C$2:$C$200,A22)</f>
        <v>1</v>
      </c>
      <c r="AA22" s="59">
        <f>IF(Clean_Data!A22="","",IFERROR(INDEX($D$7:$D$13,MATCH(Clean_Data!J22,$A$7:$A$13,0)),0))</f>
        <v>1</v>
      </c>
      <c r="AB22" s="59">
        <f>IF(Clean_Data!A22="","",IF(AND(AA22=1,Clean_Data!V22="Yes"),1,0))</f>
        <v>1</v>
      </c>
      <c r="AC22" s="59">
        <f>IF(Clean_Data!A22="","",IF(Clean_Data!W22="Yes",1,0))</f>
        <v>0</v>
      </c>
      <c r="AD22" s="59">
        <f>IF(AB22=1,Settings!$B$2-Clean_Data!N22+ROW()/100000,"")</f>
        <v>21.000219999999999</v>
      </c>
      <c r="AE22" s="59" t="str">
        <f>IF(AC22=1,Clean_Data!U22+ROW()/100000,"")</f>
        <v/>
      </c>
      <c r="AF22" s="59">
        <f>IF(Clean_Data!A22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22)))&gt;0,1,0))</f>
        <v>0</v>
      </c>
      <c r="AG22" s="59">
        <f>IF(Clean_Data!A22="","",IF(SUMPRODUCT(--ISNUMBER(SEARCH({"DATE_ORDER","DATE_FUTURE","FOLLOWUP_BEFORE"},Clean_Data!S22)))&gt;0,1,0))</f>
        <v>0</v>
      </c>
    </row>
    <row r="23" spans="1:33" x14ac:dyDescent="0.35">
      <c r="A23" s="60" t="s">
        <v>448</v>
      </c>
      <c r="B23" s="60">
        <f>COUNTIF(Clean_Data!$C$2:$C$200,A23)</f>
        <v>12</v>
      </c>
      <c r="C23" s="60">
        <f>SUMIFS($AA$2:$AA$200,Clean_Data!$C$2:$C$200,A23)</f>
        <v>7</v>
      </c>
      <c r="D23" s="60">
        <f>COUNTIFS(Clean_Data!$C$2:$C$200,A23,Clean_Data!$J$2:$J$200,"Engaged")</f>
        <v>3</v>
      </c>
      <c r="E23" s="63">
        <f t="shared" si="1"/>
        <v>0.25</v>
      </c>
      <c r="F23" s="60">
        <f>SUMIFS($AB$2:$AB$200,Clean_Data!$C$2:$C$200,A23)</f>
        <v>1</v>
      </c>
      <c r="G23" s="63">
        <f t="shared" si="2"/>
        <v>0.14285714285714285</v>
      </c>
      <c r="H23" s="60">
        <f>SUMIFS($AC$2:$AC$200,Clean_Data!$C$2:$C$200,A23)</f>
        <v>1</v>
      </c>
      <c r="AA23" s="59">
        <f>IF(Clean_Data!A23="","",IFERROR(INDEX($D$7:$D$13,MATCH(Clean_Data!J23,$A$7:$A$13,0)),0))</f>
        <v>1</v>
      </c>
      <c r="AB23" s="59">
        <f>IF(Clean_Data!A23="","",IF(AND(AA23=1,Clean_Data!V23="Yes"),1,0))</f>
        <v>1</v>
      </c>
      <c r="AC23" s="59">
        <f>IF(Clean_Data!A23="","",IF(Clean_Data!W23="Yes",1,0))</f>
        <v>0</v>
      </c>
      <c r="AD23" s="59">
        <f>IF(AB23=1,Settings!$B$2-Clean_Data!N23+ROW()/100000,"")</f>
        <v>26.000229999999998</v>
      </c>
      <c r="AE23" s="59" t="str">
        <f>IF(AC23=1,Clean_Data!U23+ROW()/100000,"")</f>
        <v/>
      </c>
      <c r="AF23" s="59">
        <f>IF(Clean_Data!A23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23)))&gt;0,1,0))</f>
        <v>1</v>
      </c>
      <c r="AG23" s="59">
        <f>IF(Clean_Data!A23="","",IF(SUMPRODUCT(--ISNUMBER(SEARCH({"DATE_ORDER","DATE_FUTURE","FOLLOWUP_BEFORE"},Clean_Data!S23)))&gt;0,1,0))</f>
        <v>0</v>
      </c>
    </row>
    <row r="24" spans="1:33" x14ac:dyDescent="0.35">
      <c r="A24" s="60" t="s">
        <v>658</v>
      </c>
      <c r="B24" s="60">
        <f>COUNTIF(Clean_Data!$C$2:$C$200,A24)</f>
        <v>7</v>
      </c>
      <c r="C24" s="60">
        <f>SUMIFS($AA$2:$AA$200,Clean_Data!$C$2:$C$200,A24)</f>
        <v>5</v>
      </c>
      <c r="D24" s="60">
        <f>COUNTIFS(Clean_Data!$C$2:$C$200,A24,Clean_Data!$J$2:$J$200,"Engaged")</f>
        <v>1</v>
      </c>
      <c r="E24" s="63">
        <f t="shared" si="1"/>
        <v>0.14285714285714285</v>
      </c>
      <c r="F24" s="60">
        <f>SUMIFS($AB$2:$AB$200,Clean_Data!$C$2:$C$200,A24)</f>
        <v>4</v>
      </c>
      <c r="G24" s="63">
        <f t="shared" si="2"/>
        <v>0.8</v>
      </c>
      <c r="H24" s="60">
        <f>SUMIFS($AC$2:$AC$200,Clean_Data!$C$2:$C$200,A24)</f>
        <v>2</v>
      </c>
      <c r="AA24" s="59">
        <f>IF(Clean_Data!A24="","",IFERROR(INDEX($D$7:$D$13,MATCH(Clean_Data!J24,$A$7:$A$13,0)),0))</f>
        <v>1</v>
      </c>
      <c r="AB24" s="59">
        <f>IF(Clean_Data!A24="","",IF(AND(AA24=1,Clean_Data!V24="Yes"),1,0))</f>
        <v>0</v>
      </c>
      <c r="AC24" s="59">
        <f>IF(Clean_Data!A24="","",IF(Clean_Data!W24="Yes",1,0))</f>
        <v>0</v>
      </c>
      <c r="AD24" s="59" t="str">
        <f>IF(AB24=1,Settings!$B$2-Clean_Data!N24+ROW()/100000,"")</f>
        <v/>
      </c>
      <c r="AE24" s="59" t="str">
        <f>IF(AC24=1,Clean_Data!U24+ROW()/100000,"")</f>
        <v/>
      </c>
      <c r="AF24" s="59">
        <f>IF(Clean_Data!A24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24)))&gt;0,1,0))</f>
        <v>0</v>
      </c>
      <c r="AG24" s="59">
        <f>IF(Clean_Data!A24="","",IF(SUMPRODUCT(--ISNUMBER(SEARCH({"DATE_ORDER","DATE_FUTURE","FOLLOWUP_BEFORE"},Clean_Data!S24)))&gt;0,1,0))</f>
        <v>0</v>
      </c>
    </row>
    <row r="25" spans="1:33" x14ac:dyDescent="0.35">
      <c r="A25" s="65" t="s">
        <v>865</v>
      </c>
      <c r="B25" s="65">
        <f>SUM(B19:B24)</f>
        <v>84</v>
      </c>
      <c r="C25" s="65">
        <f>SUM(C19:C24)</f>
        <v>59</v>
      </c>
      <c r="D25" s="65">
        <f>SUM(D19:D24)</f>
        <v>19</v>
      </c>
      <c r="E25" s="66">
        <f t="shared" si="1"/>
        <v>0.22619047619047619</v>
      </c>
      <c r="F25" s="65">
        <f>SUM(F19:F24)</f>
        <v>30</v>
      </c>
      <c r="G25" s="66">
        <f t="shared" si="2"/>
        <v>0.50847457627118642</v>
      </c>
      <c r="H25" s="65">
        <f>SUM(H19:H24)</f>
        <v>13</v>
      </c>
      <c r="AA25" s="59">
        <f>IF(Clean_Data!A25="","",IFERROR(INDEX($D$7:$D$13,MATCH(Clean_Data!J25,$A$7:$A$13,0)),0))</f>
        <v>1</v>
      </c>
      <c r="AB25" s="59">
        <f>IF(Clean_Data!A25="","",IF(AND(AA25=1,Clean_Data!V25="Yes"),1,0))</f>
        <v>1</v>
      </c>
      <c r="AC25" s="59">
        <f>IF(Clean_Data!A25="","",IF(Clean_Data!W25="Yes",1,0))</f>
        <v>1</v>
      </c>
      <c r="AD25" s="59">
        <f>IF(AB25=1,Settings!$B$2-Clean_Data!N25+ROW()/100000,"")</f>
        <v>73.000249999999994</v>
      </c>
      <c r="AE25" s="59">
        <f>IF(AC25=1,Clean_Data!U25+ROW()/100000,"")</f>
        <v>128.00024999999999</v>
      </c>
      <c r="AF25" s="59">
        <f>IF(Clean_Data!A25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25)))&gt;0,1,0))</f>
        <v>1</v>
      </c>
      <c r="AG25" s="59">
        <f>IF(Clean_Data!A25="","",IF(SUMPRODUCT(--ISNUMBER(SEARCH({"DATE_ORDER","DATE_FUTURE","FOLLOWUP_BEFORE"},Clean_Data!S25)))&gt;0,1,0))</f>
        <v>0</v>
      </c>
    </row>
    <row r="26" spans="1:33" x14ac:dyDescent="0.35">
      <c r="A26" s="60"/>
      <c r="B26" s="60"/>
      <c r="C26" s="60"/>
      <c r="D26" s="60"/>
      <c r="E26" s="60"/>
      <c r="F26" s="60"/>
      <c r="G26" s="60"/>
      <c r="H26" s="60"/>
      <c r="AA26" s="59">
        <f>IF(Clean_Data!A26="","",IFERROR(INDEX($D$7:$D$13,MATCH(Clean_Data!J26,$A$7:$A$13,0)),0))</f>
        <v>1</v>
      </c>
      <c r="AB26" s="59">
        <f>IF(Clean_Data!A26="","",IF(AND(AA26=1,Clean_Data!V26="Yes"),1,0))</f>
        <v>1</v>
      </c>
      <c r="AC26" s="59">
        <f>IF(Clean_Data!A26="","",IF(Clean_Data!W26="Yes",1,0))</f>
        <v>0</v>
      </c>
      <c r="AD26" s="59">
        <f>IF(AB26=1,Settings!$B$2-Clean_Data!N26+ROW()/100000,"")</f>
        <v>30.000260000000001</v>
      </c>
      <c r="AE26" s="59" t="str">
        <f>IF(AC26=1,Clean_Data!U26+ROW()/100000,"")</f>
        <v/>
      </c>
      <c r="AF26" s="59">
        <f>IF(Clean_Data!A26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26)))&gt;0,1,0))</f>
        <v>1</v>
      </c>
      <c r="AG26" s="59">
        <f>IF(Clean_Data!A26="","",IF(SUMPRODUCT(--ISNUMBER(SEARCH({"DATE_ORDER","DATE_FUTURE","FOLLOWUP_BEFORE"},Clean_Data!S26)))&gt;0,1,0))</f>
        <v>0</v>
      </c>
    </row>
    <row r="27" spans="1:33" x14ac:dyDescent="0.35">
      <c r="A27" s="61" t="s">
        <v>871</v>
      </c>
      <c r="B27" s="60"/>
      <c r="C27" s="60"/>
      <c r="D27" s="60"/>
      <c r="E27" s="60"/>
      <c r="F27" s="60"/>
      <c r="G27" s="60"/>
      <c r="H27" s="60"/>
      <c r="AA27" s="59">
        <f>IF(Clean_Data!A27="","",IFERROR(INDEX($D$7:$D$13,MATCH(Clean_Data!J27,$A$7:$A$13,0)),0))</f>
        <v>0</v>
      </c>
      <c r="AB27" s="59">
        <f>IF(Clean_Data!A27="","",IF(AND(AA27=1,Clean_Data!V27="Yes"),1,0))</f>
        <v>0</v>
      </c>
      <c r="AC27" s="59">
        <f>IF(Clean_Data!A27="","",IF(Clean_Data!W27="Yes",1,0))</f>
        <v>0</v>
      </c>
      <c r="AD27" s="59" t="str">
        <f>IF(AB27=1,Settings!$B$2-Clean_Data!N27+ROW()/100000,"")</f>
        <v/>
      </c>
      <c r="AE27" s="59" t="str">
        <f>IF(AC27=1,Clean_Data!U27+ROW()/100000,"")</f>
        <v/>
      </c>
      <c r="AF27" s="59">
        <f>IF(Clean_Data!A27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27)))&gt;0,1,0))</f>
        <v>1</v>
      </c>
      <c r="AG27" s="59">
        <f>IF(Clean_Data!A27="","",IF(SUMPRODUCT(--ISNUMBER(SEARCH({"DATE_ORDER","DATE_FUTURE","FOLLOWUP_BEFORE"},Clean_Data!S27)))&gt;0,1,0))</f>
        <v>0</v>
      </c>
    </row>
    <row r="28" spans="1:33" ht="30" customHeight="1" x14ac:dyDescent="0.35">
      <c r="A28" s="62" t="s">
        <v>20</v>
      </c>
      <c r="B28" s="62" t="s">
        <v>13</v>
      </c>
      <c r="C28" s="62" t="s">
        <v>14</v>
      </c>
      <c r="D28" s="62" t="s">
        <v>17</v>
      </c>
      <c r="E28" s="62" t="s">
        <v>869</v>
      </c>
      <c r="F28" s="62" t="s">
        <v>870</v>
      </c>
      <c r="G28" s="60"/>
      <c r="H28" s="60"/>
      <c r="AA28" s="59">
        <f>IF(Clean_Data!A28="","",IFERROR(INDEX($D$7:$D$13,MATCH(Clean_Data!J28,$A$7:$A$13,0)),0))</f>
        <v>1</v>
      </c>
      <c r="AB28" s="59">
        <f>IF(Clean_Data!A28="","",IF(AND(AA28=1,Clean_Data!V28="Yes"),1,0))</f>
        <v>1</v>
      </c>
      <c r="AC28" s="59">
        <f>IF(Clean_Data!A28="","",IF(Clean_Data!W28="Yes",1,0))</f>
        <v>0</v>
      </c>
      <c r="AD28" s="59">
        <f>IF(AB28=1,Settings!$B$2-Clean_Data!N28+ROW()/100000,"")</f>
        <v>7.0002800000000001</v>
      </c>
      <c r="AE28" s="59" t="str">
        <f>IF(AC28=1,Clean_Data!U28+ROW()/100000,"")</f>
        <v/>
      </c>
      <c r="AF28" s="59">
        <f>IF(Clean_Data!A28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28)))&gt;0,1,0))</f>
        <v>0</v>
      </c>
      <c r="AG28" s="59">
        <f>IF(Clean_Data!A28="","",IF(SUMPRODUCT(--ISNUMBER(SEARCH({"DATE_ORDER","DATE_FUTURE","FOLLOWUP_BEFORE"},Clean_Data!S28)))&gt;0,1,0))</f>
        <v>0</v>
      </c>
    </row>
    <row r="29" spans="1:33" x14ac:dyDescent="0.35">
      <c r="A29" s="60" t="s">
        <v>262</v>
      </c>
      <c r="B29" s="60">
        <f>COUNTIF(Clean_Data!$K$2:$K$200,A29)</f>
        <v>8</v>
      </c>
      <c r="C29" s="60">
        <f>SUMIFS($AA$2:$AA$200,Clean_Data!$K$2:$K$200,A29)</f>
        <v>5</v>
      </c>
      <c r="D29" s="60">
        <f>SUMIFS($AB$2:$AB$200,Clean_Data!$K$2:$K$200,A29)</f>
        <v>2</v>
      </c>
      <c r="E29" s="63">
        <f t="shared" ref="E29:E36" si="3">IF(C29=0,0,D29/C29)</f>
        <v>0.4</v>
      </c>
      <c r="F29" s="60">
        <f>SUMIFS($AC$2:$AC$200,Clean_Data!$K$2:$K$200,A29)</f>
        <v>1</v>
      </c>
      <c r="G29" s="60"/>
      <c r="H29" s="60"/>
      <c r="AA29" s="59">
        <f>IF(Clean_Data!A29="","",IFERROR(INDEX($D$7:$D$13,MATCH(Clean_Data!J29,$A$7:$A$13,0)),0))</f>
        <v>0</v>
      </c>
      <c r="AB29" s="59">
        <f>IF(Clean_Data!A29="","",IF(AND(AA29=1,Clean_Data!V29="Yes"),1,0))</f>
        <v>0</v>
      </c>
      <c r="AC29" s="59">
        <f>IF(Clean_Data!A29="","",IF(Clean_Data!W29="Yes",1,0))</f>
        <v>0</v>
      </c>
      <c r="AD29" s="59" t="str">
        <f>IF(AB29=1,Settings!$B$2-Clean_Data!N29+ROW()/100000,"")</f>
        <v/>
      </c>
      <c r="AE29" s="59" t="str">
        <f>IF(AC29=1,Clean_Data!U29+ROW()/100000,"")</f>
        <v/>
      </c>
      <c r="AF29" s="59">
        <f>IF(Clean_Data!A29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29)))&gt;0,1,0))</f>
        <v>1</v>
      </c>
      <c r="AG29" s="59">
        <f>IF(Clean_Data!A29="","",IF(SUMPRODUCT(--ISNUMBER(SEARCH({"DATE_ORDER","DATE_FUTURE","FOLLOWUP_BEFORE"},Clean_Data!S29)))&gt;0,1,0))</f>
        <v>0</v>
      </c>
    </row>
    <row r="30" spans="1:33" x14ac:dyDescent="0.35">
      <c r="A30" s="60" t="s">
        <v>321</v>
      </c>
      <c r="B30" s="60">
        <f>COUNTIF(Clean_Data!$K$2:$K$200,A30)</f>
        <v>13</v>
      </c>
      <c r="C30" s="60">
        <f>SUMIFS($AA$2:$AA$200,Clean_Data!$K$2:$K$200,A30)</f>
        <v>9</v>
      </c>
      <c r="D30" s="60">
        <f>SUMIFS($AB$2:$AB$200,Clean_Data!$K$2:$K$200,A30)</f>
        <v>5</v>
      </c>
      <c r="E30" s="63">
        <f t="shared" si="3"/>
        <v>0.55555555555555558</v>
      </c>
      <c r="F30" s="60">
        <f>SUMIFS($AC$2:$AC$200,Clean_Data!$K$2:$K$200,A30)</f>
        <v>4</v>
      </c>
      <c r="G30" s="60"/>
      <c r="H30" s="60"/>
      <c r="AA30" s="59">
        <f>IF(Clean_Data!A30="","",IFERROR(INDEX($D$7:$D$13,MATCH(Clean_Data!J30,$A$7:$A$13,0)),0))</f>
        <v>1</v>
      </c>
      <c r="AB30" s="59">
        <f>IF(Clean_Data!A30="","",IF(AND(AA30=1,Clean_Data!V30="Yes"),1,0))</f>
        <v>0</v>
      </c>
      <c r="AC30" s="59">
        <f>IF(Clean_Data!A30="","",IF(Clean_Data!W30="Yes",1,0))</f>
        <v>0</v>
      </c>
      <c r="AD30" s="59" t="str">
        <f>IF(AB30=1,Settings!$B$2-Clean_Data!N30+ROW()/100000,"")</f>
        <v/>
      </c>
      <c r="AE30" s="59" t="str">
        <f>IF(AC30=1,Clean_Data!U30+ROW()/100000,"")</f>
        <v/>
      </c>
      <c r="AF30" s="59">
        <f>IF(Clean_Data!A30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30)))&gt;0,1,0))</f>
        <v>0</v>
      </c>
      <c r="AG30" s="59">
        <f>IF(Clean_Data!A30="","",IF(SUMPRODUCT(--ISNUMBER(SEARCH({"DATE_ORDER","DATE_FUTURE","FOLLOWUP_BEFORE"},Clean_Data!S30)))&gt;0,1,0))</f>
        <v>0</v>
      </c>
    </row>
    <row r="31" spans="1:33" x14ac:dyDescent="0.35">
      <c r="A31" s="60" t="s">
        <v>224</v>
      </c>
      <c r="B31" s="60">
        <f>COUNTIF(Clean_Data!$K$2:$K$200,A31)</f>
        <v>14</v>
      </c>
      <c r="C31" s="60">
        <f>SUMIFS($AA$2:$AA$200,Clean_Data!$K$2:$K$200,A31)</f>
        <v>9</v>
      </c>
      <c r="D31" s="60">
        <f>SUMIFS($AB$2:$AB$200,Clean_Data!$K$2:$K$200,A31)</f>
        <v>6</v>
      </c>
      <c r="E31" s="63">
        <f t="shared" si="3"/>
        <v>0.66666666666666663</v>
      </c>
      <c r="F31" s="60">
        <f>SUMIFS($AC$2:$AC$200,Clean_Data!$K$2:$K$200,A31)</f>
        <v>2</v>
      </c>
      <c r="G31" s="60"/>
      <c r="H31" s="60"/>
      <c r="AA31" s="59">
        <f>IF(Clean_Data!A31="","",IFERROR(INDEX($D$7:$D$13,MATCH(Clean_Data!J31,$A$7:$A$13,0)),0))</f>
        <v>0</v>
      </c>
      <c r="AB31" s="59">
        <f>IF(Clean_Data!A31="","",IF(AND(AA31=1,Clean_Data!V31="Yes"),1,0))</f>
        <v>0</v>
      </c>
      <c r="AC31" s="59">
        <f>IF(Clean_Data!A31="","",IF(Clean_Data!W31="Yes",1,0))</f>
        <v>0</v>
      </c>
      <c r="AD31" s="59" t="str">
        <f>IF(AB31=1,Settings!$B$2-Clean_Data!N31+ROW()/100000,"")</f>
        <v/>
      </c>
      <c r="AE31" s="59" t="str">
        <f>IF(AC31=1,Clean_Data!U31+ROW()/100000,"")</f>
        <v/>
      </c>
      <c r="AF31" s="59">
        <f>IF(Clean_Data!A31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31)))&gt;0,1,0))</f>
        <v>0</v>
      </c>
      <c r="AG31" s="59">
        <f>IF(Clean_Data!A31="","",IF(SUMPRODUCT(--ISNUMBER(SEARCH({"DATE_ORDER","DATE_FUTURE","FOLLOWUP_BEFORE"},Clean_Data!S31)))&gt;0,1,0))</f>
        <v>0</v>
      </c>
    </row>
    <row r="32" spans="1:33" x14ac:dyDescent="0.35">
      <c r="A32" s="60" t="s">
        <v>235</v>
      </c>
      <c r="B32" s="60">
        <f>COUNTIF(Clean_Data!$K$2:$K$200,A32)</f>
        <v>14</v>
      </c>
      <c r="C32" s="60">
        <f>SUMIFS($AA$2:$AA$200,Clean_Data!$K$2:$K$200,A32)</f>
        <v>11</v>
      </c>
      <c r="D32" s="60">
        <f>SUMIFS($AB$2:$AB$200,Clean_Data!$K$2:$K$200,A32)</f>
        <v>8</v>
      </c>
      <c r="E32" s="63">
        <f t="shared" si="3"/>
        <v>0.72727272727272729</v>
      </c>
      <c r="F32" s="60">
        <f>SUMIFS($AC$2:$AC$200,Clean_Data!$K$2:$K$200,A32)</f>
        <v>2</v>
      </c>
      <c r="G32" s="60"/>
      <c r="H32" s="60"/>
      <c r="AA32" s="59">
        <f>IF(Clean_Data!A32="","",IFERROR(INDEX($D$7:$D$13,MATCH(Clean_Data!J32,$A$7:$A$13,0)),0))</f>
        <v>1</v>
      </c>
      <c r="AB32" s="59">
        <f>IF(Clean_Data!A32="","",IF(AND(AA32=1,Clean_Data!V32="Yes"),1,0))</f>
        <v>1</v>
      </c>
      <c r="AC32" s="59">
        <f>IF(Clean_Data!A32="","",IF(Clean_Data!W32="Yes",1,0))</f>
        <v>0</v>
      </c>
      <c r="AD32" s="59">
        <f>IF(AB32=1,Settings!$B$2-Clean_Data!N32+ROW()/100000,"")</f>
        <v>51.000320000000002</v>
      </c>
      <c r="AE32" s="59" t="str">
        <f>IF(AC32=1,Clean_Data!U32+ROW()/100000,"")</f>
        <v/>
      </c>
      <c r="AF32" s="59">
        <f>IF(Clean_Data!A32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32)))&gt;0,1,0))</f>
        <v>1</v>
      </c>
      <c r="AG32" s="59">
        <f>IF(Clean_Data!A32="","",IF(SUMPRODUCT(--ISNUMBER(SEARCH({"DATE_ORDER","DATE_FUTURE","FOLLOWUP_BEFORE"},Clean_Data!S32)))&gt;0,1,0))</f>
        <v>0</v>
      </c>
    </row>
    <row r="33" spans="1:33" x14ac:dyDescent="0.35">
      <c r="A33" s="60" t="s">
        <v>276</v>
      </c>
      <c r="B33" s="60">
        <f>COUNTIF(Clean_Data!$K$2:$K$200,A33)</f>
        <v>13</v>
      </c>
      <c r="C33" s="60">
        <f>SUMIFS($AA$2:$AA$200,Clean_Data!$K$2:$K$200,A33)</f>
        <v>9</v>
      </c>
      <c r="D33" s="60">
        <f>SUMIFS($AB$2:$AB$200,Clean_Data!$K$2:$K$200,A33)</f>
        <v>1</v>
      </c>
      <c r="E33" s="63">
        <f t="shared" si="3"/>
        <v>0.1111111111111111</v>
      </c>
      <c r="F33" s="60">
        <f>SUMIFS($AC$2:$AC$200,Clean_Data!$K$2:$K$200,A33)</f>
        <v>0</v>
      </c>
      <c r="G33" s="60"/>
      <c r="H33" s="60"/>
      <c r="AA33" s="59">
        <f>IF(Clean_Data!A33="","",IFERROR(INDEX($D$7:$D$13,MATCH(Clean_Data!J33,$A$7:$A$13,0)),0))</f>
        <v>1</v>
      </c>
      <c r="AB33" s="59">
        <f>IF(Clean_Data!A33="","",IF(AND(AA33=1,Clean_Data!V33="Yes"),1,0))</f>
        <v>0</v>
      </c>
      <c r="AC33" s="59">
        <f>IF(Clean_Data!A33="","",IF(Clean_Data!W33="Yes",1,0))</f>
        <v>0</v>
      </c>
      <c r="AD33" s="59" t="str">
        <f>IF(AB33=1,Settings!$B$2-Clean_Data!N33+ROW()/100000,"")</f>
        <v/>
      </c>
      <c r="AE33" s="59" t="str">
        <f>IF(AC33=1,Clean_Data!U33+ROW()/100000,"")</f>
        <v/>
      </c>
      <c r="AF33" s="59">
        <f>IF(Clean_Data!A33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33)))&gt;0,1,0))</f>
        <v>0</v>
      </c>
      <c r="AG33" s="59">
        <f>IF(Clean_Data!A33="","",IF(SUMPRODUCT(--ISNUMBER(SEARCH({"DATE_ORDER","DATE_FUTURE","FOLLOWUP_BEFORE"},Clean_Data!S33)))&gt;0,1,0))</f>
        <v>0</v>
      </c>
    </row>
    <row r="34" spans="1:33" x14ac:dyDescent="0.35">
      <c r="A34" s="60" t="s">
        <v>254</v>
      </c>
      <c r="B34" s="60">
        <f>COUNTIF(Clean_Data!$K$2:$K$200,A34)</f>
        <v>14</v>
      </c>
      <c r="C34" s="60">
        <f>SUMIFS($AA$2:$AA$200,Clean_Data!$K$2:$K$200,A34)</f>
        <v>11</v>
      </c>
      <c r="D34" s="60">
        <f>SUMIFS($AB$2:$AB$200,Clean_Data!$K$2:$K$200,A34)</f>
        <v>6</v>
      </c>
      <c r="E34" s="63">
        <f t="shared" si="3"/>
        <v>0.54545454545454541</v>
      </c>
      <c r="F34" s="60">
        <f>SUMIFS($AC$2:$AC$200,Clean_Data!$K$2:$K$200,A34)</f>
        <v>3</v>
      </c>
      <c r="G34" s="60"/>
      <c r="H34" s="60"/>
      <c r="AA34" s="59">
        <f>IF(Clean_Data!A34="","",IFERROR(INDEX($D$7:$D$13,MATCH(Clean_Data!J34,$A$7:$A$13,0)),0))</f>
        <v>1</v>
      </c>
      <c r="AB34" s="59">
        <f>IF(Clean_Data!A34="","",IF(AND(AA34=1,Clean_Data!V34="Yes"),1,0))</f>
        <v>1</v>
      </c>
      <c r="AC34" s="59">
        <f>IF(Clean_Data!A34="","",IF(Clean_Data!W34="Yes",1,0))</f>
        <v>0</v>
      </c>
      <c r="AD34" s="59">
        <f>IF(AB34=1,Settings!$B$2-Clean_Data!N34+ROW()/100000,"")</f>
        <v>22.000340000000001</v>
      </c>
      <c r="AE34" s="59" t="str">
        <f>IF(AC34=1,Clean_Data!U34+ROW()/100000,"")</f>
        <v/>
      </c>
      <c r="AF34" s="59">
        <f>IF(Clean_Data!A34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34)))&gt;0,1,0))</f>
        <v>1</v>
      </c>
      <c r="AG34" s="59">
        <f>IF(Clean_Data!A34="","",IF(SUMPRODUCT(--ISNUMBER(SEARCH({"DATE_ORDER","DATE_FUTURE","FOLLOWUP_BEFORE"},Clean_Data!S34)))&gt;0,1,0))</f>
        <v>0</v>
      </c>
    </row>
    <row r="35" spans="1:33" x14ac:dyDescent="0.35">
      <c r="A35" s="60" t="s">
        <v>293</v>
      </c>
      <c r="B35" s="60">
        <f>COUNTIF(Clean_Data!$K$2:$K$200,A35)</f>
        <v>8</v>
      </c>
      <c r="C35" s="60">
        <f>SUMIFS($AA$2:$AA$200,Clean_Data!$K$2:$K$200,A35)</f>
        <v>5</v>
      </c>
      <c r="D35" s="60">
        <f>SUMIFS($AB$2:$AB$200,Clean_Data!$K$2:$K$200,A35)</f>
        <v>2</v>
      </c>
      <c r="E35" s="63">
        <f t="shared" si="3"/>
        <v>0.4</v>
      </c>
      <c r="F35" s="60">
        <f>SUMIFS($AC$2:$AC$200,Clean_Data!$K$2:$K$200,A35)</f>
        <v>1</v>
      </c>
      <c r="G35" s="60"/>
      <c r="H35" s="60"/>
      <c r="AA35" s="59">
        <f>IF(Clean_Data!A35="","",IFERROR(INDEX($D$7:$D$13,MATCH(Clean_Data!J35,$A$7:$A$13,0)),0))</f>
        <v>1</v>
      </c>
      <c r="AB35" s="59">
        <f>IF(Clean_Data!A35="","",IF(AND(AA35=1,Clean_Data!V35="Yes"),1,0))</f>
        <v>0</v>
      </c>
      <c r="AC35" s="59">
        <f>IF(Clean_Data!A35="","",IF(Clean_Data!W35="Yes",1,0))</f>
        <v>0</v>
      </c>
      <c r="AD35" s="59" t="str">
        <f>IF(AB35=1,Settings!$B$2-Clean_Data!N35+ROW()/100000,"")</f>
        <v/>
      </c>
      <c r="AE35" s="59" t="str">
        <f>IF(AC35=1,Clean_Data!U35+ROW()/100000,"")</f>
        <v/>
      </c>
      <c r="AF35" s="59">
        <f>IF(Clean_Data!A35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35)))&gt;0,1,0))</f>
        <v>1</v>
      </c>
      <c r="AG35" s="59">
        <f>IF(Clean_Data!A35="","",IF(SUMPRODUCT(--ISNUMBER(SEARCH({"DATE_ORDER","DATE_FUTURE","FOLLOWUP_BEFORE"},Clean_Data!S35)))&gt;0,1,0))</f>
        <v>0</v>
      </c>
    </row>
    <row r="36" spans="1:33" x14ac:dyDescent="0.35">
      <c r="A36" s="65" t="s">
        <v>865</v>
      </c>
      <c r="B36" s="65">
        <f>SUM(B29:B35)</f>
        <v>84</v>
      </c>
      <c r="C36" s="65">
        <f>SUM(C29:C35)</f>
        <v>59</v>
      </c>
      <c r="D36" s="65">
        <f>SUM(D29:D35)</f>
        <v>30</v>
      </c>
      <c r="E36" s="66">
        <f t="shared" si="3"/>
        <v>0.50847457627118642</v>
      </c>
      <c r="F36" s="65">
        <f>SUM(F29:F35)</f>
        <v>13</v>
      </c>
      <c r="G36" s="60"/>
      <c r="H36" s="60"/>
      <c r="AA36" s="59">
        <f>IF(Clean_Data!A36="","",IFERROR(INDEX($D$7:$D$13,MATCH(Clean_Data!J36,$A$7:$A$13,0)),0))</f>
        <v>0</v>
      </c>
      <c r="AB36" s="59">
        <f>IF(Clean_Data!A36="","",IF(AND(AA36=1,Clean_Data!V36="Yes"),1,0))</f>
        <v>0</v>
      </c>
      <c r="AC36" s="59">
        <f>IF(Clean_Data!A36="","",IF(Clean_Data!W36="Yes",1,0))</f>
        <v>0</v>
      </c>
      <c r="AD36" s="59" t="str">
        <f>IF(AB36=1,Settings!$B$2-Clean_Data!N36+ROW()/100000,"")</f>
        <v/>
      </c>
      <c r="AE36" s="59" t="str">
        <f>IF(AC36=1,Clean_Data!U36+ROW()/100000,"")</f>
        <v/>
      </c>
      <c r="AF36" s="59">
        <f>IF(Clean_Data!A36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36)))&gt;0,1,0))</f>
        <v>0</v>
      </c>
      <c r="AG36" s="59">
        <f>IF(Clean_Data!A36="","",IF(SUMPRODUCT(--ISNUMBER(SEARCH({"DATE_ORDER","DATE_FUTURE","FOLLOWUP_BEFORE"},Clean_Data!S36)))&gt;0,1,0))</f>
        <v>0</v>
      </c>
    </row>
    <row r="37" spans="1:33" x14ac:dyDescent="0.35">
      <c r="A37" s="60"/>
      <c r="B37" s="60"/>
      <c r="C37" s="60"/>
      <c r="D37" s="60"/>
      <c r="E37" s="60"/>
      <c r="F37" s="60"/>
      <c r="G37" s="60"/>
      <c r="H37" s="60"/>
      <c r="AA37" s="59">
        <f>IF(Clean_Data!A37="","",IFERROR(INDEX($D$7:$D$13,MATCH(Clean_Data!J37,$A$7:$A$13,0)),0))</f>
        <v>1</v>
      </c>
      <c r="AB37" s="59">
        <f>IF(Clean_Data!A37="","",IF(AND(AA37=1,Clean_Data!V37="Yes"),1,0))</f>
        <v>0</v>
      </c>
      <c r="AC37" s="59">
        <f>IF(Clean_Data!A37="","",IF(Clean_Data!W37="Yes",1,0))</f>
        <v>0</v>
      </c>
      <c r="AD37" s="59" t="str">
        <f>IF(AB37=1,Settings!$B$2-Clean_Data!N37+ROW()/100000,"")</f>
        <v/>
      </c>
      <c r="AE37" s="59" t="str">
        <f>IF(AC37=1,Clean_Data!U37+ROW()/100000,"")</f>
        <v/>
      </c>
      <c r="AF37" s="59">
        <f>IF(Clean_Data!A37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37)))&gt;0,1,0))</f>
        <v>0</v>
      </c>
      <c r="AG37" s="59">
        <f>IF(Clean_Data!A37="","",IF(SUMPRODUCT(--ISNUMBER(SEARCH({"DATE_ORDER","DATE_FUTURE","FOLLOWUP_BEFORE"},Clean_Data!S37)))&gt;0,1,0))</f>
        <v>0</v>
      </c>
    </row>
    <row r="38" spans="1:33" x14ac:dyDescent="0.35">
      <c r="A38" s="61" t="s">
        <v>872</v>
      </c>
      <c r="B38" s="60"/>
      <c r="C38" s="60"/>
      <c r="D38" s="60"/>
      <c r="E38" s="60"/>
      <c r="F38" s="60"/>
      <c r="G38" s="60"/>
      <c r="H38" s="60"/>
      <c r="AA38" s="59">
        <f>IF(Clean_Data!A38="","",IFERROR(INDEX($D$7:$D$13,MATCH(Clean_Data!J38,$A$7:$A$13,0)),0))</f>
        <v>1</v>
      </c>
      <c r="AB38" s="59">
        <f>IF(Clean_Data!A38="","",IF(AND(AA38=1,Clean_Data!V38="Yes"),1,0))</f>
        <v>0</v>
      </c>
      <c r="AC38" s="59">
        <f>IF(Clean_Data!A38="","",IF(Clean_Data!W38="Yes",1,0))</f>
        <v>0</v>
      </c>
      <c r="AD38" s="59" t="str">
        <f>IF(AB38=1,Settings!$B$2-Clean_Data!N38+ROW()/100000,"")</f>
        <v/>
      </c>
      <c r="AE38" s="59" t="str">
        <f>IF(AC38=1,Clean_Data!U38+ROW()/100000,"")</f>
        <v/>
      </c>
      <c r="AF38" s="59">
        <f>IF(Clean_Data!A38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38)))&gt;0,1,0))</f>
        <v>0</v>
      </c>
      <c r="AG38" s="59">
        <f>IF(Clean_Data!A38="","",IF(SUMPRODUCT(--ISNUMBER(SEARCH({"DATE_ORDER","DATE_FUTURE","FOLLOWUP_BEFORE"},Clean_Data!S38)))&gt;0,1,0))</f>
        <v>0</v>
      </c>
    </row>
    <row r="39" spans="1:33" ht="26" x14ac:dyDescent="0.35">
      <c r="A39" s="62" t="s">
        <v>12</v>
      </c>
      <c r="B39" s="62" t="s">
        <v>223</v>
      </c>
      <c r="C39" s="62" t="s">
        <v>234</v>
      </c>
      <c r="D39" s="62" t="s">
        <v>261</v>
      </c>
      <c r="E39" s="62" t="s">
        <v>284</v>
      </c>
      <c r="F39" s="62" t="s">
        <v>15</v>
      </c>
      <c r="G39" s="62" t="s">
        <v>243</v>
      </c>
      <c r="H39" s="62" t="s">
        <v>397</v>
      </c>
      <c r="AA39" s="59">
        <f>IF(Clean_Data!A39="","",IFERROR(INDEX($D$7:$D$13,MATCH(Clean_Data!J39,$A$7:$A$13,0)),0))</f>
        <v>1</v>
      </c>
      <c r="AB39" s="59">
        <f>IF(Clean_Data!A39="","",IF(AND(AA39=1,Clean_Data!V39="Yes"),1,0))</f>
        <v>0</v>
      </c>
      <c r="AC39" s="59">
        <f>IF(Clean_Data!A39="","",IF(Clean_Data!W39="Yes",1,0))</f>
        <v>0</v>
      </c>
      <c r="AD39" s="59" t="str">
        <f>IF(AB39=1,Settings!$B$2-Clean_Data!N39+ROW()/100000,"")</f>
        <v/>
      </c>
      <c r="AE39" s="59" t="str">
        <f>IF(AC39=1,Clean_Data!U39+ROW()/100000,"")</f>
        <v/>
      </c>
      <c r="AF39" s="59">
        <f>IF(Clean_Data!A39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39)))&gt;0,1,0))</f>
        <v>1</v>
      </c>
      <c r="AG39" s="59">
        <f>IF(Clean_Data!A39="","",IF(SUMPRODUCT(--ISNUMBER(SEARCH({"DATE_ORDER","DATE_FUTURE","FOLLOWUP_BEFORE"},Clean_Data!S39)))&gt;0,1,0))</f>
        <v>1</v>
      </c>
    </row>
    <row r="40" spans="1:33" x14ac:dyDescent="0.35">
      <c r="A40" s="60" t="s">
        <v>217</v>
      </c>
      <c r="B40" s="60">
        <f>COUNTIFS(Clean_Data!$C$2:$C$200,$A40,Clean_Data!$J$2:$J$200,B$39)</f>
        <v>4</v>
      </c>
      <c r="C40" s="60">
        <f>COUNTIFS(Clean_Data!$C$2:$C$200,$A40,Clean_Data!$J$2:$J$200,C$39)</f>
        <v>4</v>
      </c>
      <c r="D40" s="60">
        <f>COUNTIFS(Clean_Data!$C$2:$C$200,$A40,Clean_Data!$J$2:$J$200,D$39)</f>
        <v>4</v>
      </c>
      <c r="E40" s="60">
        <f>COUNTIFS(Clean_Data!$C$2:$C$200,$A40,Clean_Data!$J$2:$J$200,E$39)</f>
        <v>3</v>
      </c>
      <c r="F40" s="60">
        <f>COUNTIFS(Clean_Data!$C$2:$C$200,$A40,Clean_Data!$J$2:$J$200,F$39)</f>
        <v>3</v>
      </c>
      <c r="G40" s="60">
        <f>COUNTIFS(Clean_Data!$C$2:$C$200,$A40,Clean_Data!$J$2:$J$200,G$39)</f>
        <v>3</v>
      </c>
      <c r="H40" s="60">
        <f>COUNTIFS(Clean_Data!$C$2:$C$200,$A40,Clean_Data!$J$2:$J$200,H$39)</f>
        <v>0</v>
      </c>
      <c r="AA40" s="59">
        <f>IF(Clean_Data!A40="","",IFERROR(INDEX($D$7:$D$13,MATCH(Clean_Data!J40,$A$7:$A$13,0)),0))</f>
        <v>1</v>
      </c>
      <c r="AB40" s="59">
        <f>IF(Clean_Data!A40="","",IF(AND(AA40=1,Clean_Data!V40="Yes"),1,0))</f>
        <v>0</v>
      </c>
      <c r="AC40" s="59">
        <f>IF(Clean_Data!A40="","",IF(Clean_Data!W40="Yes",1,0))</f>
        <v>0</v>
      </c>
      <c r="AD40" s="59" t="str">
        <f>IF(AB40=1,Settings!$B$2-Clean_Data!N40+ROW()/100000,"")</f>
        <v/>
      </c>
      <c r="AE40" s="59" t="str">
        <f>IF(AC40=1,Clean_Data!U40+ROW()/100000,"")</f>
        <v/>
      </c>
      <c r="AF40" s="59">
        <f>IF(Clean_Data!A40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40)))&gt;0,1,0))</f>
        <v>1</v>
      </c>
      <c r="AG40" s="59">
        <f>IF(Clean_Data!A40="","",IF(SUMPRODUCT(--ISNUMBER(SEARCH({"DATE_ORDER","DATE_FUTURE","FOLLOWUP_BEFORE"},Clean_Data!S40)))&gt;0,1,0))</f>
        <v>0</v>
      </c>
    </row>
    <row r="41" spans="1:33" x14ac:dyDescent="0.35">
      <c r="A41" s="60" t="s">
        <v>365</v>
      </c>
      <c r="B41" s="60">
        <f>COUNTIFS(Clean_Data!$C$2:$C$200,$A41,Clean_Data!$J$2:$J$200,B$39)</f>
        <v>1</v>
      </c>
      <c r="C41" s="60">
        <f>COUNTIFS(Clean_Data!$C$2:$C$200,$A41,Clean_Data!$J$2:$J$200,C$39)</f>
        <v>2</v>
      </c>
      <c r="D41" s="60">
        <f>COUNTIFS(Clean_Data!$C$2:$C$200,$A41,Clean_Data!$J$2:$J$200,D$39)</f>
        <v>4</v>
      </c>
      <c r="E41" s="60">
        <f>COUNTIFS(Clean_Data!$C$2:$C$200,$A41,Clean_Data!$J$2:$J$200,E$39)</f>
        <v>3</v>
      </c>
      <c r="F41" s="60">
        <f>COUNTIFS(Clean_Data!$C$2:$C$200,$A41,Clean_Data!$J$2:$J$200,F$39)</f>
        <v>3</v>
      </c>
      <c r="G41" s="60">
        <f>COUNTIFS(Clean_Data!$C$2:$C$200,$A41,Clean_Data!$J$2:$J$200,G$39)</f>
        <v>1</v>
      </c>
      <c r="H41" s="60">
        <f>COUNTIFS(Clean_Data!$C$2:$C$200,$A41,Clean_Data!$J$2:$J$200,H$39)</f>
        <v>1</v>
      </c>
      <c r="AA41" s="59">
        <f>IF(Clean_Data!A41="","",IFERROR(INDEX($D$7:$D$13,MATCH(Clean_Data!J41,$A$7:$A$13,0)),0))</f>
        <v>1</v>
      </c>
      <c r="AB41" s="59">
        <f>IF(Clean_Data!A41="","",IF(AND(AA41=1,Clean_Data!V41="Yes"),1,0))</f>
        <v>0</v>
      </c>
      <c r="AC41" s="59">
        <f>IF(Clean_Data!A41="","",IF(Clean_Data!W41="Yes",1,0))</f>
        <v>0</v>
      </c>
      <c r="AD41" s="59" t="str">
        <f>IF(AB41=1,Settings!$B$2-Clean_Data!N41+ROW()/100000,"")</f>
        <v/>
      </c>
      <c r="AE41" s="59" t="str">
        <f>IF(AC41=1,Clean_Data!U41+ROW()/100000,"")</f>
        <v/>
      </c>
      <c r="AF41" s="59">
        <f>IF(Clean_Data!A41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41)))&gt;0,1,0))</f>
        <v>1</v>
      </c>
      <c r="AG41" s="59">
        <f>IF(Clean_Data!A41="","",IF(SUMPRODUCT(--ISNUMBER(SEARCH({"DATE_ORDER","DATE_FUTURE","FOLLOWUP_BEFORE"},Clean_Data!S41)))&gt;0,1,0))</f>
        <v>0</v>
      </c>
    </row>
    <row r="42" spans="1:33" x14ac:dyDescent="0.35">
      <c r="A42" s="60" t="s">
        <v>498</v>
      </c>
      <c r="B42" s="60">
        <f>COUNTIFS(Clean_Data!$C$2:$C$200,$A42,Clean_Data!$J$2:$J$200,B$39)</f>
        <v>2</v>
      </c>
      <c r="C42" s="60">
        <f>COUNTIFS(Clean_Data!$C$2:$C$200,$A42,Clean_Data!$J$2:$J$200,C$39)</f>
        <v>1</v>
      </c>
      <c r="D42" s="60">
        <f>COUNTIFS(Clean_Data!$C$2:$C$200,$A42,Clean_Data!$J$2:$J$200,D$39)</f>
        <v>2</v>
      </c>
      <c r="E42" s="60">
        <f>COUNTIFS(Clean_Data!$C$2:$C$200,$A42,Clean_Data!$J$2:$J$200,E$39)</f>
        <v>1</v>
      </c>
      <c r="F42" s="60">
        <f>COUNTIFS(Clean_Data!$C$2:$C$200,$A42,Clean_Data!$J$2:$J$200,F$39)</f>
        <v>6</v>
      </c>
      <c r="G42" s="60">
        <f>COUNTIFS(Clean_Data!$C$2:$C$200,$A42,Clean_Data!$J$2:$J$200,G$39)</f>
        <v>3</v>
      </c>
      <c r="H42" s="60">
        <f>COUNTIFS(Clean_Data!$C$2:$C$200,$A42,Clean_Data!$J$2:$J$200,H$39)</f>
        <v>0</v>
      </c>
      <c r="AA42" s="59">
        <f>IF(Clean_Data!A42="","",IFERROR(INDEX($D$7:$D$13,MATCH(Clean_Data!J42,$A$7:$A$13,0)),0))</f>
        <v>0</v>
      </c>
      <c r="AB42" s="59">
        <f>IF(Clean_Data!A42="","",IF(AND(AA42=1,Clean_Data!V42="Yes"),1,0))</f>
        <v>0</v>
      </c>
      <c r="AC42" s="59">
        <f>IF(Clean_Data!A42="","",IF(Clean_Data!W42="Yes",1,0))</f>
        <v>0</v>
      </c>
      <c r="AD42" s="59" t="str">
        <f>IF(AB42=1,Settings!$B$2-Clean_Data!N42+ROW()/100000,"")</f>
        <v/>
      </c>
      <c r="AE42" s="59" t="str">
        <f>IF(AC42=1,Clean_Data!U42+ROW()/100000,"")</f>
        <v/>
      </c>
      <c r="AF42" s="59">
        <f>IF(Clean_Data!A42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42)))&gt;0,1,0))</f>
        <v>1</v>
      </c>
      <c r="AG42" s="59">
        <f>IF(Clean_Data!A42="","",IF(SUMPRODUCT(--ISNUMBER(SEARCH({"DATE_ORDER","DATE_FUTURE","FOLLOWUP_BEFORE"},Clean_Data!S42)))&gt;0,1,0))</f>
        <v>0</v>
      </c>
    </row>
    <row r="43" spans="1:33" x14ac:dyDescent="0.35">
      <c r="A43" s="60" t="s">
        <v>588</v>
      </c>
      <c r="B43" s="60">
        <f>COUNTIFS(Clean_Data!$C$2:$C$200,$A43,Clean_Data!$J$2:$J$200,B$39)</f>
        <v>2</v>
      </c>
      <c r="C43" s="60">
        <f>COUNTIFS(Clean_Data!$C$2:$C$200,$A43,Clean_Data!$J$2:$J$200,C$39)</f>
        <v>4</v>
      </c>
      <c r="D43" s="60">
        <f>COUNTIFS(Clean_Data!$C$2:$C$200,$A43,Clean_Data!$J$2:$J$200,D$39)</f>
        <v>1</v>
      </c>
      <c r="E43" s="60">
        <f>COUNTIFS(Clean_Data!$C$2:$C$200,$A43,Clean_Data!$J$2:$J$200,E$39)</f>
        <v>3</v>
      </c>
      <c r="F43" s="60">
        <f>COUNTIFS(Clean_Data!$C$2:$C$200,$A43,Clean_Data!$J$2:$J$200,F$39)</f>
        <v>3</v>
      </c>
      <c r="G43" s="60">
        <f>COUNTIFS(Clean_Data!$C$2:$C$200,$A43,Clean_Data!$J$2:$J$200,G$39)</f>
        <v>0</v>
      </c>
      <c r="H43" s="60">
        <f>COUNTIFS(Clean_Data!$C$2:$C$200,$A43,Clean_Data!$J$2:$J$200,H$39)</f>
        <v>1</v>
      </c>
      <c r="AA43" s="59">
        <f>IF(Clean_Data!A43="","",IFERROR(INDEX($D$7:$D$13,MATCH(Clean_Data!J43,$A$7:$A$13,0)),0))</f>
        <v>1</v>
      </c>
      <c r="AB43" s="59">
        <f>IF(Clean_Data!A43="","",IF(AND(AA43=1,Clean_Data!V43="Yes"),1,0))</f>
        <v>1</v>
      </c>
      <c r="AC43" s="59">
        <f>IF(Clean_Data!A43="","",IF(Clean_Data!W43="Yes",1,0))</f>
        <v>1</v>
      </c>
      <c r="AD43" s="59">
        <f>IF(AB43=1,Settings!$B$2-Clean_Data!N43+ROW()/100000,"")</f>
        <v>91.000429999999994</v>
      </c>
      <c r="AE43" s="59">
        <f>IF(AC43=1,Clean_Data!U43+ROW()/100000,"")</f>
        <v>132.00042999999999</v>
      </c>
      <c r="AF43" s="59">
        <f>IF(Clean_Data!A43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43)))&gt;0,1,0))</f>
        <v>0</v>
      </c>
      <c r="AG43" s="59">
        <f>IF(Clean_Data!A43="","",IF(SUMPRODUCT(--ISNUMBER(SEARCH({"DATE_ORDER","DATE_FUTURE","FOLLOWUP_BEFORE"},Clean_Data!S43)))&gt;0,1,0))</f>
        <v>0</v>
      </c>
    </row>
    <row r="44" spans="1:33" x14ac:dyDescent="0.35">
      <c r="A44" s="60" t="s">
        <v>448</v>
      </c>
      <c r="B44" s="60">
        <f>COUNTIFS(Clean_Data!$C$2:$C$200,$A44,Clean_Data!$J$2:$J$200,B$39)</f>
        <v>0</v>
      </c>
      <c r="C44" s="60">
        <f>COUNTIFS(Clean_Data!$C$2:$C$200,$A44,Clean_Data!$J$2:$J$200,C$39)</f>
        <v>1</v>
      </c>
      <c r="D44" s="60">
        <f>COUNTIFS(Clean_Data!$C$2:$C$200,$A44,Clean_Data!$J$2:$J$200,D$39)</f>
        <v>2</v>
      </c>
      <c r="E44" s="60">
        <f>COUNTIFS(Clean_Data!$C$2:$C$200,$A44,Clean_Data!$J$2:$J$200,E$39)</f>
        <v>1</v>
      </c>
      <c r="F44" s="60">
        <f>COUNTIFS(Clean_Data!$C$2:$C$200,$A44,Clean_Data!$J$2:$J$200,F$39)</f>
        <v>3</v>
      </c>
      <c r="G44" s="60">
        <f>COUNTIFS(Clean_Data!$C$2:$C$200,$A44,Clean_Data!$J$2:$J$200,G$39)</f>
        <v>3</v>
      </c>
      <c r="H44" s="60">
        <f>COUNTIFS(Clean_Data!$C$2:$C$200,$A44,Clean_Data!$J$2:$J$200,H$39)</f>
        <v>2</v>
      </c>
      <c r="AA44" s="59">
        <f>IF(Clean_Data!A44="","",IFERROR(INDEX($D$7:$D$13,MATCH(Clean_Data!J44,$A$7:$A$13,0)),0))</f>
        <v>0</v>
      </c>
      <c r="AB44" s="59">
        <f>IF(Clean_Data!A44="","",IF(AND(AA44=1,Clean_Data!V44="Yes"),1,0))</f>
        <v>0</v>
      </c>
      <c r="AC44" s="59">
        <f>IF(Clean_Data!A44="","",IF(Clean_Data!W44="Yes",1,0))</f>
        <v>0</v>
      </c>
      <c r="AD44" s="59" t="str">
        <f>IF(AB44=1,Settings!$B$2-Clean_Data!N44+ROW()/100000,"")</f>
        <v/>
      </c>
      <c r="AE44" s="59" t="str">
        <f>IF(AC44=1,Clean_Data!U44+ROW()/100000,"")</f>
        <v/>
      </c>
      <c r="AF44" s="59">
        <f>IF(Clean_Data!A44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44)))&gt;0,1,0))</f>
        <v>0</v>
      </c>
      <c r="AG44" s="59">
        <f>IF(Clean_Data!A44="","",IF(SUMPRODUCT(--ISNUMBER(SEARCH({"DATE_ORDER","DATE_FUTURE","FOLLOWUP_BEFORE"},Clean_Data!S44)))&gt;0,1,0))</f>
        <v>0</v>
      </c>
    </row>
    <row r="45" spans="1:33" x14ac:dyDescent="0.35">
      <c r="A45" s="60" t="s">
        <v>658</v>
      </c>
      <c r="B45" s="60">
        <f>COUNTIFS(Clean_Data!$C$2:$C$200,$A45,Clean_Data!$J$2:$J$200,B$39)</f>
        <v>1</v>
      </c>
      <c r="C45" s="60">
        <f>COUNTIFS(Clean_Data!$C$2:$C$200,$A45,Clean_Data!$J$2:$J$200,C$39)</f>
        <v>3</v>
      </c>
      <c r="D45" s="60">
        <f>COUNTIFS(Clean_Data!$C$2:$C$200,$A45,Clean_Data!$J$2:$J$200,D$39)</f>
        <v>1</v>
      </c>
      <c r="E45" s="60">
        <f>COUNTIFS(Clean_Data!$C$2:$C$200,$A45,Clean_Data!$J$2:$J$200,E$39)</f>
        <v>0</v>
      </c>
      <c r="F45" s="60">
        <f>COUNTIFS(Clean_Data!$C$2:$C$200,$A45,Clean_Data!$J$2:$J$200,F$39)</f>
        <v>1</v>
      </c>
      <c r="G45" s="60">
        <f>COUNTIFS(Clean_Data!$C$2:$C$200,$A45,Clean_Data!$J$2:$J$200,G$39)</f>
        <v>1</v>
      </c>
      <c r="H45" s="60">
        <f>COUNTIFS(Clean_Data!$C$2:$C$200,$A45,Clean_Data!$J$2:$J$200,H$39)</f>
        <v>0</v>
      </c>
      <c r="AA45" s="59">
        <f>IF(Clean_Data!A45="","",IFERROR(INDEX($D$7:$D$13,MATCH(Clean_Data!J45,$A$7:$A$13,0)),0))</f>
        <v>0</v>
      </c>
      <c r="AB45" s="59">
        <f>IF(Clean_Data!A45="","",IF(AND(AA45=1,Clean_Data!V45="Yes"),1,0))</f>
        <v>0</v>
      </c>
      <c r="AC45" s="59">
        <f>IF(Clean_Data!A45="","",IF(Clean_Data!W45="Yes",1,0))</f>
        <v>0</v>
      </c>
      <c r="AD45" s="59" t="str">
        <f>IF(AB45=1,Settings!$B$2-Clean_Data!N45+ROW()/100000,"")</f>
        <v/>
      </c>
      <c r="AE45" s="59" t="str">
        <f>IF(AC45=1,Clean_Data!U45+ROW()/100000,"")</f>
        <v/>
      </c>
      <c r="AF45" s="59">
        <f>IF(Clean_Data!A45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45)))&gt;0,1,0))</f>
        <v>1</v>
      </c>
      <c r="AG45" s="59">
        <f>IF(Clean_Data!A45="","",IF(SUMPRODUCT(--ISNUMBER(SEARCH({"DATE_ORDER","DATE_FUTURE","FOLLOWUP_BEFORE"},Clean_Data!S45)))&gt;0,1,0))</f>
        <v>0</v>
      </c>
    </row>
    <row r="46" spans="1:33" x14ac:dyDescent="0.35">
      <c r="A46" s="60"/>
      <c r="B46" s="60"/>
      <c r="C46" s="60"/>
      <c r="D46" s="60"/>
      <c r="E46" s="60"/>
      <c r="F46" s="60"/>
      <c r="G46" s="60"/>
      <c r="H46" s="60"/>
      <c r="AA46" s="59">
        <f>IF(Clean_Data!A46="","",IFERROR(INDEX($D$7:$D$13,MATCH(Clean_Data!J46,$A$7:$A$13,0)),0))</f>
        <v>1</v>
      </c>
      <c r="AB46" s="59">
        <f>IF(Clean_Data!A46="","",IF(AND(AA46=1,Clean_Data!V46="Yes"),1,0))</f>
        <v>1</v>
      </c>
      <c r="AC46" s="59">
        <f>IF(Clean_Data!A46="","",IF(Clean_Data!W46="Yes",1,0))</f>
        <v>0</v>
      </c>
      <c r="AD46" s="59">
        <f>IF(AB46=1,Settings!$B$2-Clean_Data!N46+ROW()/100000,"")</f>
        <v>23.00046</v>
      </c>
      <c r="AE46" s="59" t="str">
        <f>IF(AC46=1,Clean_Data!U46+ROW()/100000,"")</f>
        <v/>
      </c>
      <c r="AF46" s="59">
        <f>IF(Clean_Data!A46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46)))&gt;0,1,0))</f>
        <v>0</v>
      </c>
      <c r="AG46" s="59">
        <f>IF(Clean_Data!A46="","",IF(SUMPRODUCT(--ISNUMBER(SEARCH({"DATE_ORDER","DATE_FUTURE","FOLLOWUP_BEFORE"},Clean_Data!S46)))&gt;0,1,0))</f>
        <v>0</v>
      </c>
    </row>
    <row r="47" spans="1:33" x14ac:dyDescent="0.35">
      <c r="A47" s="60"/>
      <c r="B47" s="60"/>
      <c r="C47" s="60"/>
      <c r="D47" s="60"/>
      <c r="E47" s="60"/>
      <c r="F47" s="60"/>
      <c r="G47" s="60"/>
      <c r="H47" s="60"/>
      <c r="AA47" s="59">
        <f>IF(Clean_Data!A47="","",IFERROR(INDEX($D$7:$D$13,MATCH(Clean_Data!J47,$A$7:$A$13,0)),0))</f>
        <v>0</v>
      </c>
      <c r="AB47" s="59">
        <f>IF(Clean_Data!A47="","",IF(AND(AA47=1,Clean_Data!V47="Yes"),1,0))</f>
        <v>0</v>
      </c>
      <c r="AC47" s="59">
        <f>IF(Clean_Data!A47="","",IF(Clean_Data!W47="Yes",1,0))</f>
        <v>0</v>
      </c>
      <c r="AD47" s="59" t="str">
        <f>IF(AB47=1,Settings!$B$2-Clean_Data!N47+ROW()/100000,"")</f>
        <v/>
      </c>
      <c r="AE47" s="59" t="str">
        <f>IF(AC47=1,Clean_Data!U47+ROW()/100000,"")</f>
        <v/>
      </c>
      <c r="AF47" s="59">
        <f>IF(Clean_Data!A47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47)))&gt;0,1,0))</f>
        <v>1</v>
      </c>
      <c r="AG47" s="59">
        <f>IF(Clean_Data!A47="","",IF(SUMPRODUCT(--ISNUMBER(SEARCH({"DATE_ORDER","DATE_FUTURE","FOLLOWUP_BEFORE"},Clean_Data!S47)))&gt;0,1,0))</f>
        <v>1</v>
      </c>
    </row>
    <row r="48" spans="1:33" x14ac:dyDescent="0.35">
      <c r="A48" s="61" t="s">
        <v>873</v>
      </c>
      <c r="B48" s="60"/>
      <c r="C48" s="60"/>
      <c r="D48" s="60"/>
      <c r="E48" s="60"/>
      <c r="F48" s="60"/>
      <c r="G48" s="60"/>
      <c r="H48" s="60"/>
      <c r="AA48" s="59">
        <f>IF(Clean_Data!A48="","",IFERROR(INDEX($D$7:$D$13,MATCH(Clean_Data!J48,$A$7:$A$13,0)),0))</f>
        <v>1</v>
      </c>
      <c r="AB48" s="59">
        <f>IF(Clean_Data!A48="","",IF(AND(AA48=1,Clean_Data!V48="Yes"),1,0))</f>
        <v>0</v>
      </c>
      <c r="AC48" s="59">
        <f>IF(Clean_Data!A48="","",IF(Clean_Data!W48="Yes",1,0))</f>
        <v>0</v>
      </c>
      <c r="AD48" s="59" t="str">
        <f>IF(AB48=1,Settings!$B$2-Clean_Data!N48+ROW()/100000,"")</f>
        <v/>
      </c>
      <c r="AE48" s="59" t="str">
        <f>IF(AC48=1,Clean_Data!U48+ROW()/100000,"")</f>
        <v/>
      </c>
      <c r="AF48" s="59">
        <f>IF(Clean_Data!A48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48)))&gt;0,1,0))</f>
        <v>1</v>
      </c>
      <c r="AG48" s="59">
        <f>IF(Clean_Data!A48="","",IF(SUMPRODUCT(--ISNUMBER(SEARCH({"DATE_ORDER","DATE_FUTURE","FOLLOWUP_BEFORE"},Clean_Data!S48)))&gt;0,1,0))</f>
        <v>0</v>
      </c>
    </row>
    <row r="49" spans="1:33" x14ac:dyDescent="0.35">
      <c r="A49" s="62" t="s">
        <v>12</v>
      </c>
      <c r="B49" s="62" t="s">
        <v>64</v>
      </c>
      <c r="C49" s="62" t="s">
        <v>73</v>
      </c>
      <c r="D49" s="62" t="s">
        <v>78</v>
      </c>
      <c r="E49" s="62" t="s">
        <v>244</v>
      </c>
      <c r="F49" s="60"/>
      <c r="G49" s="60"/>
      <c r="H49" s="60"/>
      <c r="AA49" s="59">
        <f>IF(Clean_Data!A49="","",IFERROR(INDEX($D$7:$D$13,MATCH(Clean_Data!J49,$A$7:$A$13,0)),0))</f>
        <v>1</v>
      </c>
      <c r="AB49" s="59">
        <f>IF(Clean_Data!A49="","",IF(AND(AA49=1,Clean_Data!V49="Yes"),1,0))</f>
        <v>0</v>
      </c>
      <c r="AC49" s="59">
        <f>IF(Clean_Data!A49="","",IF(Clean_Data!W49="Yes",1,0))</f>
        <v>0</v>
      </c>
      <c r="AD49" s="59" t="str">
        <f>IF(AB49=1,Settings!$B$2-Clean_Data!N49+ROW()/100000,"")</f>
        <v/>
      </c>
      <c r="AE49" s="59" t="str">
        <f>IF(AC49=1,Clean_Data!U49+ROW()/100000,"")</f>
        <v/>
      </c>
      <c r="AF49" s="59">
        <f>IF(Clean_Data!A49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49)))&gt;0,1,0))</f>
        <v>1</v>
      </c>
      <c r="AG49" s="59">
        <f>IF(Clean_Data!A49="","",IF(SUMPRODUCT(--ISNUMBER(SEARCH({"DATE_ORDER","DATE_FUTURE","FOLLOWUP_BEFORE"},Clean_Data!S49)))&gt;0,1,0))</f>
        <v>0</v>
      </c>
    </row>
    <row r="50" spans="1:33" x14ac:dyDescent="0.35">
      <c r="A50" s="60" t="s">
        <v>217</v>
      </c>
      <c r="B50" s="60">
        <f>COUNTIFS(Clean_Data!$C$2:$C$200,$A50,Clean_Data!$P$2:$P$200,B$49)</f>
        <v>3</v>
      </c>
      <c r="C50" s="60">
        <f>COUNTIFS(Clean_Data!$C$2:$C$200,$A50,Clean_Data!$P$2:$P$200,C$49)</f>
        <v>7</v>
      </c>
      <c r="D50" s="60">
        <f>COUNTIFS(Clean_Data!$C$2:$C$200,$A50,Clean_Data!$P$2:$P$200,D$49)</f>
        <v>5</v>
      </c>
      <c r="E50" s="60">
        <f>COUNTIFS(Clean_Data!$C$2:$C$200,$A50,Clean_Data!$P$2:$P$200,E$49)</f>
        <v>2</v>
      </c>
      <c r="F50" s="60"/>
      <c r="G50" s="60"/>
      <c r="H50" s="60"/>
      <c r="AA50" s="59">
        <f>IF(Clean_Data!A50="","",IFERROR(INDEX($D$7:$D$13,MATCH(Clean_Data!J50,$A$7:$A$13,0)),0))</f>
        <v>0</v>
      </c>
      <c r="AB50" s="59">
        <f>IF(Clean_Data!A50="","",IF(AND(AA50=1,Clean_Data!V50="Yes"),1,0))</f>
        <v>0</v>
      </c>
      <c r="AC50" s="59">
        <f>IF(Clean_Data!A50="","",IF(Clean_Data!W50="Yes",1,0))</f>
        <v>0</v>
      </c>
      <c r="AD50" s="59" t="str">
        <f>IF(AB50=1,Settings!$B$2-Clean_Data!N50+ROW()/100000,"")</f>
        <v/>
      </c>
      <c r="AE50" s="59" t="str">
        <f>IF(AC50=1,Clean_Data!U50+ROW()/100000,"")</f>
        <v/>
      </c>
      <c r="AF50" s="59">
        <f>IF(Clean_Data!A50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50)))&gt;0,1,0))</f>
        <v>1</v>
      </c>
      <c r="AG50" s="59">
        <f>IF(Clean_Data!A50="","",IF(SUMPRODUCT(--ISNUMBER(SEARCH({"DATE_ORDER","DATE_FUTURE","FOLLOWUP_BEFORE"},Clean_Data!S50)))&gt;0,1,0))</f>
        <v>0</v>
      </c>
    </row>
    <row r="51" spans="1:33" x14ac:dyDescent="0.35">
      <c r="A51" s="60" t="s">
        <v>365</v>
      </c>
      <c r="B51" s="60">
        <f>COUNTIFS(Clean_Data!$C$2:$C$200,$A51,Clean_Data!$P$2:$P$200,B$49)</f>
        <v>3</v>
      </c>
      <c r="C51" s="60">
        <f>COUNTIFS(Clean_Data!$C$2:$C$200,$A51,Clean_Data!$P$2:$P$200,C$49)</f>
        <v>6</v>
      </c>
      <c r="D51" s="60">
        <f>COUNTIFS(Clean_Data!$C$2:$C$200,$A51,Clean_Data!$P$2:$P$200,D$49)</f>
        <v>3</v>
      </c>
      <c r="E51" s="60">
        <f>COUNTIFS(Clean_Data!$C$2:$C$200,$A51,Clean_Data!$P$2:$P$200,E$49)</f>
        <v>2</v>
      </c>
      <c r="F51" s="60"/>
      <c r="G51" s="60"/>
      <c r="H51" s="60"/>
      <c r="AA51" s="59">
        <f>IF(Clean_Data!A51="","",IFERROR(INDEX($D$7:$D$13,MATCH(Clean_Data!J51,$A$7:$A$13,0)),0))</f>
        <v>1</v>
      </c>
      <c r="AB51" s="59">
        <f>IF(Clean_Data!A51="","",IF(AND(AA51=1,Clean_Data!V51="Yes"),1,0))</f>
        <v>1</v>
      </c>
      <c r="AC51" s="59">
        <f>IF(Clean_Data!A51="","",IF(Clean_Data!W51="Yes",1,0))</f>
        <v>1</v>
      </c>
      <c r="AD51" s="59">
        <f>IF(AB51=1,Settings!$B$2-Clean_Data!N51+ROW()/100000,"")</f>
        <v>98.000510000000006</v>
      </c>
      <c r="AE51" s="59">
        <f>IF(AC51=1,Clean_Data!U51+ROW()/100000,"")</f>
        <v>141.00050999999999</v>
      </c>
      <c r="AF51" s="59">
        <f>IF(Clean_Data!A51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51)))&gt;0,1,0))</f>
        <v>0</v>
      </c>
      <c r="AG51" s="59">
        <f>IF(Clean_Data!A51="","",IF(SUMPRODUCT(--ISNUMBER(SEARCH({"DATE_ORDER","DATE_FUTURE","FOLLOWUP_BEFORE"},Clean_Data!S51)))&gt;0,1,0))</f>
        <v>0</v>
      </c>
    </row>
    <row r="52" spans="1:33" x14ac:dyDescent="0.35">
      <c r="A52" s="60" t="s">
        <v>498</v>
      </c>
      <c r="B52" s="60">
        <f>COUNTIFS(Clean_Data!$C$2:$C$200,$A52,Clean_Data!$P$2:$P$200,B$49)</f>
        <v>6</v>
      </c>
      <c r="C52" s="60">
        <f>COUNTIFS(Clean_Data!$C$2:$C$200,$A52,Clean_Data!$P$2:$P$200,C$49)</f>
        <v>2</v>
      </c>
      <c r="D52" s="60">
        <f>COUNTIFS(Clean_Data!$C$2:$C$200,$A52,Clean_Data!$P$2:$P$200,D$49)</f>
        <v>4</v>
      </c>
      <c r="E52" s="60">
        <f>COUNTIFS(Clean_Data!$C$2:$C$200,$A52,Clean_Data!$P$2:$P$200,E$49)</f>
        <v>1</v>
      </c>
      <c r="F52" s="60"/>
      <c r="G52" s="60"/>
      <c r="H52" s="60"/>
      <c r="AA52" s="59">
        <f>IF(Clean_Data!A52="","",IFERROR(INDEX($D$7:$D$13,MATCH(Clean_Data!J52,$A$7:$A$13,0)),0))</f>
        <v>0</v>
      </c>
      <c r="AB52" s="59">
        <f>IF(Clean_Data!A52="","",IF(AND(AA52=1,Clean_Data!V52="Yes"),1,0))</f>
        <v>0</v>
      </c>
      <c r="AC52" s="59">
        <f>IF(Clean_Data!A52="","",IF(Clean_Data!W52="Yes",1,0))</f>
        <v>0</v>
      </c>
      <c r="AD52" s="59" t="str">
        <f>IF(AB52=1,Settings!$B$2-Clean_Data!N52+ROW()/100000,"")</f>
        <v/>
      </c>
      <c r="AE52" s="59" t="str">
        <f>IF(AC52=1,Clean_Data!U52+ROW()/100000,"")</f>
        <v/>
      </c>
      <c r="AF52" s="59">
        <f>IF(Clean_Data!A52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52)))&gt;0,1,0))</f>
        <v>1</v>
      </c>
      <c r="AG52" s="59">
        <f>IF(Clean_Data!A52="","",IF(SUMPRODUCT(--ISNUMBER(SEARCH({"DATE_ORDER","DATE_FUTURE","FOLLOWUP_BEFORE"},Clean_Data!S52)))&gt;0,1,0))</f>
        <v>0</v>
      </c>
    </row>
    <row r="53" spans="1:33" x14ac:dyDescent="0.35">
      <c r="A53" s="60" t="s">
        <v>588</v>
      </c>
      <c r="B53" s="60">
        <f>COUNTIFS(Clean_Data!$C$2:$C$200,$A53,Clean_Data!$P$2:$P$200,B$49)</f>
        <v>1</v>
      </c>
      <c r="C53" s="60">
        <f>COUNTIFS(Clean_Data!$C$2:$C$200,$A53,Clean_Data!$P$2:$P$200,C$49)</f>
        <v>4</v>
      </c>
      <c r="D53" s="60">
        <f>COUNTIFS(Clean_Data!$C$2:$C$200,$A53,Clean_Data!$P$2:$P$200,D$49)</f>
        <v>5</v>
      </c>
      <c r="E53" s="60">
        <f>COUNTIFS(Clean_Data!$C$2:$C$200,$A53,Clean_Data!$P$2:$P$200,E$49)</f>
        <v>2</v>
      </c>
      <c r="F53" s="60"/>
      <c r="G53" s="60"/>
      <c r="H53" s="60"/>
      <c r="AA53" s="59">
        <f>IF(Clean_Data!A53="","",IFERROR(INDEX($D$7:$D$13,MATCH(Clean_Data!J53,$A$7:$A$13,0)),0))</f>
        <v>1</v>
      </c>
      <c r="AB53" s="59">
        <f>IF(Clean_Data!A53="","",IF(AND(AA53=1,Clean_Data!V53="Yes"),1,0))</f>
        <v>1</v>
      </c>
      <c r="AC53" s="59">
        <f>IF(Clean_Data!A53="","",IF(Clean_Data!W53="Yes",1,0))</f>
        <v>1</v>
      </c>
      <c r="AD53" s="59">
        <f>IF(AB53=1,Settings!$B$2-Clean_Data!N53+ROW()/100000,"")</f>
        <v>211.00053</v>
      </c>
      <c r="AE53" s="59">
        <f>IF(AC53=1,Clean_Data!U53+ROW()/100000,"")</f>
        <v>228.00053</v>
      </c>
      <c r="AF53" s="59">
        <f>IF(Clean_Data!A53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53)))&gt;0,1,0))</f>
        <v>1</v>
      </c>
      <c r="AG53" s="59">
        <f>IF(Clean_Data!A53="","",IF(SUMPRODUCT(--ISNUMBER(SEARCH({"DATE_ORDER","DATE_FUTURE","FOLLOWUP_BEFORE"},Clean_Data!S53)))&gt;0,1,0))</f>
        <v>0</v>
      </c>
    </row>
    <row r="54" spans="1:33" x14ac:dyDescent="0.35">
      <c r="A54" s="60" t="s">
        <v>448</v>
      </c>
      <c r="B54" s="60">
        <f>COUNTIFS(Clean_Data!$C$2:$C$200,$A54,Clean_Data!$P$2:$P$200,B$49)</f>
        <v>4</v>
      </c>
      <c r="C54" s="60">
        <f>COUNTIFS(Clean_Data!$C$2:$C$200,$A54,Clean_Data!$P$2:$P$200,C$49)</f>
        <v>1</v>
      </c>
      <c r="D54" s="60">
        <f>COUNTIFS(Clean_Data!$C$2:$C$200,$A54,Clean_Data!$P$2:$P$200,D$49)</f>
        <v>5</v>
      </c>
      <c r="E54" s="60">
        <f>COUNTIFS(Clean_Data!$C$2:$C$200,$A54,Clean_Data!$P$2:$P$200,E$49)</f>
        <v>2</v>
      </c>
      <c r="F54" s="60"/>
      <c r="G54" s="60"/>
      <c r="H54" s="60"/>
      <c r="AA54" s="59">
        <f>IF(Clean_Data!A54="","",IFERROR(INDEX($D$7:$D$13,MATCH(Clean_Data!J54,$A$7:$A$13,0)),0))</f>
        <v>1</v>
      </c>
      <c r="AB54" s="59">
        <f>IF(Clean_Data!A54="","",IF(AND(AA54=1,Clean_Data!V54="Yes"),1,0))</f>
        <v>1</v>
      </c>
      <c r="AC54" s="59">
        <f>IF(Clean_Data!A54="","",IF(Clean_Data!W54="Yes",1,0))</f>
        <v>1</v>
      </c>
      <c r="AD54" s="59">
        <f>IF(AB54=1,Settings!$B$2-Clean_Data!N54+ROW()/100000,"")</f>
        <v>11.000540000000001</v>
      </c>
      <c r="AE54" s="59">
        <f>IF(AC54=1,Clean_Data!U54+ROW()/100000,"")</f>
        <v>331.00054</v>
      </c>
      <c r="AF54" s="59">
        <f>IF(Clean_Data!A54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54)))&gt;0,1,0))</f>
        <v>1</v>
      </c>
      <c r="AG54" s="59">
        <f>IF(Clean_Data!A54="","",IF(SUMPRODUCT(--ISNUMBER(SEARCH({"DATE_ORDER","DATE_FUTURE","FOLLOWUP_BEFORE"},Clean_Data!S54)))&gt;0,1,0))</f>
        <v>1</v>
      </c>
    </row>
    <row r="55" spans="1:33" x14ac:dyDescent="0.35">
      <c r="A55" s="60" t="s">
        <v>658</v>
      </c>
      <c r="B55" s="60">
        <f>COUNTIFS(Clean_Data!$C$2:$C$200,$A55,Clean_Data!$P$2:$P$200,B$49)</f>
        <v>0</v>
      </c>
      <c r="C55" s="60">
        <f>COUNTIFS(Clean_Data!$C$2:$C$200,$A55,Clean_Data!$P$2:$P$200,C$49)</f>
        <v>2</v>
      </c>
      <c r="D55" s="60">
        <f>COUNTIFS(Clean_Data!$C$2:$C$200,$A55,Clean_Data!$P$2:$P$200,D$49)</f>
        <v>3</v>
      </c>
      <c r="E55" s="60">
        <f>COUNTIFS(Clean_Data!$C$2:$C$200,$A55,Clean_Data!$P$2:$P$200,E$49)</f>
        <v>1</v>
      </c>
      <c r="F55" s="60"/>
      <c r="G55" s="60"/>
      <c r="H55" s="60"/>
      <c r="AA55" s="59">
        <f>IF(Clean_Data!A55="","",IFERROR(INDEX($D$7:$D$13,MATCH(Clean_Data!J55,$A$7:$A$13,0)),0))</f>
        <v>1</v>
      </c>
      <c r="AB55" s="59">
        <f>IF(Clean_Data!A55="","",IF(AND(AA55=1,Clean_Data!V55="Yes"),1,0))</f>
        <v>0</v>
      </c>
      <c r="AC55" s="59">
        <f>IF(Clean_Data!A55="","",IF(Clean_Data!W55="Yes",1,0))</f>
        <v>0</v>
      </c>
      <c r="AD55" s="59" t="str">
        <f>IF(AB55=1,Settings!$B$2-Clean_Data!N55+ROW()/100000,"")</f>
        <v/>
      </c>
      <c r="AE55" s="59" t="str">
        <f>IF(AC55=1,Clean_Data!U55+ROW()/100000,"")</f>
        <v/>
      </c>
      <c r="AF55" s="59">
        <f>IF(Clean_Data!A55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55)))&gt;0,1,0))</f>
        <v>1</v>
      </c>
      <c r="AG55" s="59">
        <f>IF(Clean_Data!A55="","",IF(SUMPRODUCT(--ISNUMBER(SEARCH({"DATE_ORDER","DATE_FUTURE","FOLLOWUP_BEFORE"},Clean_Data!S55)))&gt;0,1,0))</f>
        <v>0</v>
      </c>
    </row>
    <row r="56" spans="1:33" x14ac:dyDescent="0.35">
      <c r="A56" s="65" t="s">
        <v>865</v>
      </c>
      <c r="B56" s="65">
        <f>SUM(B50:B55)</f>
        <v>17</v>
      </c>
      <c r="C56" s="65">
        <f>SUM(C50:C55)</f>
        <v>22</v>
      </c>
      <c r="D56" s="65">
        <f>SUM(D50:D55)</f>
        <v>25</v>
      </c>
      <c r="E56" s="65">
        <f>SUM(E50:E55)</f>
        <v>10</v>
      </c>
      <c r="F56" s="60"/>
      <c r="G56" s="60"/>
      <c r="H56" s="60"/>
      <c r="AA56" s="59">
        <f>IF(Clean_Data!A56="","",IFERROR(INDEX($D$7:$D$13,MATCH(Clean_Data!J56,$A$7:$A$13,0)),0))</f>
        <v>0</v>
      </c>
      <c r="AB56" s="59">
        <f>IF(Clean_Data!A56="","",IF(AND(AA56=1,Clean_Data!V56="Yes"),1,0))</f>
        <v>0</v>
      </c>
      <c r="AC56" s="59">
        <f>IF(Clean_Data!A56="","",IF(Clean_Data!W56="Yes",1,0))</f>
        <v>0</v>
      </c>
      <c r="AD56" s="59" t="str">
        <f>IF(AB56=1,Settings!$B$2-Clean_Data!N56+ROW()/100000,"")</f>
        <v/>
      </c>
      <c r="AE56" s="59" t="str">
        <f>IF(AC56=1,Clean_Data!U56+ROW()/100000,"")</f>
        <v/>
      </c>
      <c r="AF56" s="59">
        <f>IF(Clean_Data!A56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56)))&gt;0,1,0))</f>
        <v>1</v>
      </c>
      <c r="AG56" s="59">
        <f>IF(Clean_Data!A56="","",IF(SUMPRODUCT(--ISNUMBER(SEARCH({"DATE_ORDER","DATE_FUTURE","FOLLOWUP_BEFORE"},Clean_Data!S56)))&gt;0,1,0))</f>
        <v>1</v>
      </c>
    </row>
    <row r="57" spans="1:33" x14ac:dyDescent="0.35">
      <c r="A57" s="60"/>
      <c r="B57" s="60"/>
      <c r="C57" s="60"/>
      <c r="D57" s="60"/>
      <c r="E57" s="60"/>
      <c r="F57" s="60"/>
      <c r="G57" s="60"/>
      <c r="H57" s="60"/>
      <c r="AA57" s="59">
        <f>IF(Clean_Data!A57="","",IFERROR(INDEX($D$7:$D$13,MATCH(Clean_Data!J57,$A$7:$A$13,0)),0))</f>
        <v>1</v>
      </c>
      <c r="AB57" s="59">
        <f>IF(Clean_Data!A57="","",IF(AND(AA57=1,Clean_Data!V57="Yes"),1,0))</f>
        <v>1</v>
      </c>
      <c r="AC57" s="59">
        <f>IF(Clean_Data!A57="","",IF(Clean_Data!W57="Yes",1,0))</f>
        <v>0</v>
      </c>
      <c r="AD57" s="59">
        <f>IF(AB57=1,Settings!$B$2-Clean_Data!N57+ROW()/100000,"")</f>
        <v>9.0005699999999997</v>
      </c>
      <c r="AE57" s="59" t="str">
        <f>IF(AC57=1,Clean_Data!U57+ROW()/100000,"")</f>
        <v/>
      </c>
      <c r="AF57" s="59">
        <f>IF(Clean_Data!A57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57)))&gt;0,1,0))</f>
        <v>0</v>
      </c>
      <c r="AG57" s="59">
        <f>IF(Clean_Data!A57="","",IF(SUMPRODUCT(--ISNUMBER(SEARCH({"DATE_ORDER","DATE_FUTURE","FOLLOWUP_BEFORE"},Clean_Data!S57)))&gt;0,1,0))</f>
        <v>0</v>
      </c>
    </row>
    <row r="58" spans="1:33" x14ac:dyDescent="0.35">
      <c r="A58" s="61" t="s">
        <v>874</v>
      </c>
      <c r="B58" s="60"/>
      <c r="C58" s="60"/>
      <c r="D58" s="60"/>
      <c r="E58" s="60"/>
      <c r="F58" s="60"/>
      <c r="G58" s="60"/>
      <c r="H58" s="60"/>
      <c r="AA58" s="59">
        <f>IF(Clean_Data!A58="","",IFERROR(INDEX($D$7:$D$13,MATCH(Clean_Data!J58,$A$7:$A$13,0)),0))</f>
        <v>1</v>
      </c>
      <c r="AB58" s="59">
        <f>IF(Clean_Data!A58="","",IF(AND(AA58=1,Clean_Data!V58="Yes"),1,0))</f>
        <v>1</v>
      </c>
      <c r="AC58" s="59">
        <f>IF(Clean_Data!A58="","",IF(Clean_Data!W58="Yes",1,0))</f>
        <v>1</v>
      </c>
      <c r="AD58" s="59">
        <f>IF(AB58=1,Settings!$B$2-Clean_Data!N58+ROW()/100000,"")</f>
        <v>181.00058000000001</v>
      </c>
      <c r="AE58" s="59">
        <f>IF(AC58=1,Clean_Data!U58+ROW()/100000,"")</f>
        <v>222.00058000000001</v>
      </c>
      <c r="AF58" s="59">
        <f>IF(Clean_Data!A58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58)))&gt;0,1,0))</f>
        <v>1</v>
      </c>
      <c r="AG58" s="59">
        <f>IF(Clean_Data!A58="","",IF(SUMPRODUCT(--ISNUMBER(SEARCH({"DATE_ORDER","DATE_FUTURE","FOLLOWUP_BEFORE"},Clean_Data!S58)))&gt;0,1,0))</f>
        <v>0</v>
      </c>
    </row>
    <row r="59" spans="1:33" x14ac:dyDescent="0.35">
      <c r="A59" s="62" t="s">
        <v>208</v>
      </c>
      <c r="B59" s="62" t="s">
        <v>13</v>
      </c>
      <c r="C59" s="60"/>
      <c r="D59" s="60"/>
      <c r="E59" s="60"/>
      <c r="F59" s="60"/>
      <c r="G59" s="60"/>
      <c r="H59" s="60"/>
      <c r="AA59" s="59">
        <f>IF(Clean_Data!A59="","",IFERROR(INDEX($D$7:$D$13,MATCH(Clean_Data!J59,$A$7:$A$13,0)),0))</f>
        <v>0</v>
      </c>
      <c r="AB59" s="59">
        <f>IF(Clean_Data!A59="","",IF(AND(AA59=1,Clean_Data!V59="Yes"),1,0))</f>
        <v>0</v>
      </c>
      <c r="AC59" s="59">
        <f>IF(Clean_Data!A59="","",IF(Clean_Data!W59="Yes",1,0))</f>
        <v>0</v>
      </c>
      <c r="AD59" s="59" t="str">
        <f>IF(AB59=1,Settings!$B$2-Clean_Data!N59+ROW()/100000,"")</f>
        <v/>
      </c>
      <c r="AE59" s="59" t="str">
        <f>IF(AC59=1,Clean_Data!U59+ROW()/100000,"")</f>
        <v/>
      </c>
      <c r="AF59" s="59">
        <f>IF(Clean_Data!A59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59)))&gt;0,1,0))</f>
        <v>0</v>
      </c>
      <c r="AG59" s="59">
        <f>IF(Clean_Data!A59="","",IF(SUMPRODUCT(--ISNUMBER(SEARCH({"DATE_ORDER","DATE_FUTURE","FOLLOWUP_BEFORE"},Clean_Data!S59)))&gt;0,1,0))</f>
        <v>0</v>
      </c>
    </row>
    <row r="60" spans="1:33" x14ac:dyDescent="0.35">
      <c r="A60" s="60" t="s">
        <v>197</v>
      </c>
      <c r="B60" s="60">
        <f>COUNTIF(Clean_Data!$Q$2:$Q$200,A60)</f>
        <v>24</v>
      </c>
      <c r="C60" s="60"/>
      <c r="D60" s="60"/>
      <c r="E60" s="60"/>
      <c r="F60" s="60"/>
      <c r="G60" s="60"/>
      <c r="H60" s="60"/>
      <c r="AA60" s="59">
        <f>IF(Clean_Data!A60="","",IFERROR(INDEX($D$7:$D$13,MATCH(Clean_Data!J60,$A$7:$A$13,0)),0))</f>
        <v>0</v>
      </c>
      <c r="AB60" s="59">
        <f>IF(Clean_Data!A60="","",IF(AND(AA60=1,Clean_Data!V60="Yes"),1,0))</f>
        <v>0</v>
      </c>
      <c r="AC60" s="59">
        <f>IF(Clean_Data!A60="","",IF(Clean_Data!W60="Yes",1,0))</f>
        <v>0</v>
      </c>
      <c r="AD60" s="59" t="str">
        <f>IF(AB60=1,Settings!$B$2-Clean_Data!N60+ROW()/100000,"")</f>
        <v/>
      </c>
      <c r="AE60" s="59" t="str">
        <f>IF(AC60=1,Clean_Data!U60+ROW()/100000,"")</f>
        <v/>
      </c>
      <c r="AF60" s="59">
        <f>IF(Clean_Data!A60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60)))&gt;0,1,0))</f>
        <v>1</v>
      </c>
      <c r="AG60" s="59">
        <f>IF(Clean_Data!A60="","",IF(SUMPRODUCT(--ISNUMBER(SEARCH({"DATE_ORDER","DATE_FUTURE","FOLLOWUP_BEFORE"},Clean_Data!S60)))&gt;0,1,0))</f>
        <v>0</v>
      </c>
    </row>
    <row r="61" spans="1:33" x14ac:dyDescent="0.35">
      <c r="A61" s="60" t="s">
        <v>369</v>
      </c>
      <c r="B61" s="60">
        <f>COUNTIF(Clean_Data!$Q$2:$Q$200,A61)</f>
        <v>14</v>
      </c>
      <c r="C61" s="60"/>
      <c r="D61" s="60"/>
      <c r="E61" s="60"/>
      <c r="F61" s="60"/>
      <c r="G61" s="60"/>
      <c r="H61" s="60"/>
      <c r="AA61" s="59">
        <f>IF(Clean_Data!A61="","",IFERROR(INDEX($D$7:$D$13,MATCH(Clean_Data!J61,$A$7:$A$13,0)),0))</f>
        <v>1</v>
      </c>
      <c r="AB61" s="59">
        <f>IF(Clean_Data!A61="","",IF(AND(AA61=1,Clean_Data!V61="Yes"),1,0))</f>
        <v>1</v>
      </c>
      <c r="AC61" s="59">
        <f>IF(Clean_Data!A61="","",IF(Clean_Data!W61="Yes",1,0))</f>
        <v>0</v>
      </c>
      <c r="AD61" s="59">
        <f>IF(AB61=1,Settings!$B$2-Clean_Data!N61+ROW()/100000,"")</f>
        <v>56.000610000000002</v>
      </c>
      <c r="AE61" s="59" t="str">
        <f>IF(AC61=1,Clean_Data!U61+ROW()/100000,"")</f>
        <v/>
      </c>
      <c r="AF61" s="59">
        <f>IF(Clean_Data!A61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61)))&gt;0,1,0))</f>
        <v>1</v>
      </c>
      <c r="AG61" s="59">
        <f>IF(Clean_Data!A61="","",IF(SUMPRODUCT(--ISNUMBER(SEARCH({"DATE_ORDER","DATE_FUTURE","FOLLOWUP_BEFORE"},Clean_Data!S61)))&gt;0,1,0))</f>
        <v>0</v>
      </c>
    </row>
    <row r="62" spans="1:33" x14ac:dyDescent="0.35">
      <c r="A62" s="60" t="s">
        <v>245</v>
      </c>
      <c r="B62" s="60">
        <f>COUNTIF(Clean_Data!$Q$2:$Q$200,A62)</f>
        <v>13</v>
      </c>
      <c r="C62" s="60"/>
      <c r="D62" s="60"/>
      <c r="E62" s="60"/>
      <c r="F62" s="60"/>
      <c r="G62" s="60"/>
      <c r="H62" s="60"/>
      <c r="AA62" s="59">
        <f>IF(Clean_Data!A62="","",IFERROR(INDEX($D$7:$D$13,MATCH(Clean_Data!J62,$A$7:$A$13,0)),0))</f>
        <v>1</v>
      </c>
      <c r="AB62" s="59">
        <f>IF(Clean_Data!A62="","",IF(AND(AA62=1,Clean_Data!V62="Yes"),1,0))</f>
        <v>0</v>
      </c>
      <c r="AC62" s="59">
        <f>IF(Clean_Data!A62="","",IF(Clean_Data!W62="Yes",1,0))</f>
        <v>0</v>
      </c>
      <c r="AD62" s="59" t="str">
        <f>IF(AB62=1,Settings!$B$2-Clean_Data!N62+ROW()/100000,"")</f>
        <v/>
      </c>
      <c r="AE62" s="59" t="str">
        <f>IF(AC62=1,Clean_Data!U62+ROW()/100000,"")</f>
        <v/>
      </c>
      <c r="AF62" s="59">
        <f>IF(Clean_Data!A62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62)))&gt;0,1,0))</f>
        <v>1</v>
      </c>
      <c r="AG62" s="59">
        <f>IF(Clean_Data!A62="","",IF(SUMPRODUCT(--ISNUMBER(SEARCH({"DATE_ORDER","DATE_FUTURE","FOLLOWUP_BEFORE"},Clean_Data!S62)))&gt;0,1,0))</f>
        <v>1</v>
      </c>
    </row>
    <row r="63" spans="1:33" x14ac:dyDescent="0.35">
      <c r="A63" s="60" t="s">
        <v>263</v>
      </c>
      <c r="B63" s="60">
        <f>COUNTIF(Clean_Data!$Q$2:$Q$200,A63)</f>
        <v>12</v>
      </c>
      <c r="C63" s="60"/>
      <c r="D63" s="60"/>
      <c r="E63" s="60"/>
      <c r="F63" s="60"/>
      <c r="G63" s="60"/>
      <c r="H63" s="60"/>
      <c r="AA63" s="59">
        <f>IF(Clean_Data!A63="","",IFERROR(INDEX($D$7:$D$13,MATCH(Clean_Data!J63,$A$7:$A$13,0)),0))</f>
        <v>1</v>
      </c>
      <c r="AB63" s="59">
        <f>IF(Clean_Data!A63="","",IF(AND(AA63=1,Clean_Data!V63="Yes"),1,0))</f>
        <v>1</v>
      </c>
      <c r="AC63" s="59">
        <f>IF(Clean_Data!A63="","",IF(Clean_Data!W63="Yes",1,0))</f>
        <v>0</v>
      </c>
      <c r="AD63" s="59">
        <f>IF(AB63=1,Settings!$B$2-Clean_Data!N63+ROW()/100000,"")</f>
        <v>6.0006300000000001</v>
      </c>
      <c r="AE63" s="59" t="str">
        <f>IF(AC63=1,Clean_Data!U63+ROW()/100000,"")</f>
        <v/>
      </c>
      <c r="AF63" s="59">
        <f>IF(Clean_Data!A63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63)))&gt;0,1,0))</f>
        <v>1</v>
      </c>
      <c r="AG63" s="59">
        <f>IF(Clean_Data!A63="","",IF(SUMPRODUCT(--ISNUMBER(SEARCH({"DATE_ORDER","DATE_FUTURE","FOLLOWUP_BEFORE"},Clean_Data!S63)))&gt;0,1,0))</f>
        <v>0</v>
      </c>
    </row>
    <row r="64" spans="1:33" x14ac:dyDescent="0.35">
      <c r="A64" s="60" t="s">
        <v>277</v>
      </c>
      <c r="B64" s="60">
        <f>COUNTIF(Clean_Data!$Q$2:$Q$200,A64)</f>
        <v>11</v>
      </c>
      <c r="C64" s="60"/>
      <c r="D64" s="60"/>
      <c r="E64" s="60"/>
      <c r="F64" s="60"/>
      <c r="G64" s="60"/>
      <c r="H64" s="60"/>
      <c r="AA64" s="59">
        <f>IF(Clean_Data!A64="","",IFERROR(INDEX($D$7:$D$13,MATCH(Clean_Data!J64,$A$7:$A$13,0)),0))</f>
        <v>1</v>
      </c>
      <c r="AB64" s="59">
        <f>IF(Clean_Data!A64="","",IF(AND(AA64=1,Clean_Data!V64="Yes"),1,0))</f>
        <v>0</v>
      </c>
      <c r="AC64" s="59">
        <f>IF(Clean_Data!A64="","",IF(Clean_Data!W64="Yes",1,0))</f>
        <v>0</v>
      </c>
      <c r="AD64" s="59" t="str">
        <f>IF(AB64=1,Settings!$B$2-Clean_Data!N64+ROW()/100000,"")</f>
        <v/>
      </c>
      <c r="AE64" s="59" t="str">
        <f>IF(AC64=1,Clean_Data!U64+ROW()/100000,"")</f>
        <v/>
      </c>
      <c r="AF64" s="59">
        <f>IF(Clean_Data!A64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64)))&gt;0,1,0))</f>
        <v>1</v>
      </c>
      <c r="AG64" s="59">
        <f>IF(Clean_Data!A64="","",IF(SUMPRODUCT(--ISNUMBER(SEARCH({"DATE_ORDER","DATE_FUTURE","FOLLOWUP_BEFORE"},Clean_Data!S64)))&gt;0,1,0))</f>
        <v>0</v>
      </c>
    </row>
    <row r="65" spans="1:33" x14ac:dyDescent="0.35">
      <c r="A65" s="60" t="s">
        <v>244</v>
      </c>
      <c r="B65" s="60">
        <f>COUNTIF(Clean_Data!$Q$2:$Q$200,A65)</f>
        <v>0</v>
      </c>
      <c r="C65" s="60"/>
      <c r="D65" s="60"/>
      <c r="E65" s="60"/>
      <c r="F65" s="60"/>
      <c r="G65" s="60"/>
      <c r="H65" s="60"/>
      <c r="AA65" s="59">
        <f>IF(Clean_Data!A65="","",IFERROR(INDEX($D$7:$D$13,MATCH(Clean_Data!J65,$A$7:$A$13,0)),0))</f>
        <v>1</v>
      </c>
      <c r="AB65" s="59">
        <f>IF(Clean_Data!A65="","",IF(AND(AA65=1,Clean_Data!V65="Yes"),1,0))</f>
        <v>1</v>
      </c>
      <c r="AC65" s="59">
        <f>IF(Clean_Data!A65="","",IF(Clean_Data!W65="Yes",1,0))</f>
        <v>0</v>
      </c>
      <c r="AD65" s="59">
        <f>IF(AB65=1,Settings!$B$2-Clean_Data!N65+ROW()/100000,"")</f>
        <v>30.00065</v>
      </c>
      <c r="AE65" s="59" t="str">
        <f>IF(AC65=1,Clean_Data!U65+ROW()/100000,"")</f>
        <v/>
      </c>
      <c r="AF65" s="59">
        <f>IF(Clean_Data!A65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65)))&gt;0,1,0))</f>
        <v>1</v>
      </c>
      <c r="AG65" s="59">
        <f>IF(Clean_Data!A65="","",IF(SUMPRODUCT(--ISNUMBER(SEARCH({"DATE_ORDER","DATE_FUTURE","FOLLOWUP_BEFORE"},Clean_Data!S65)))&gt;0,1,0))</f>
        <v>0</v>
      </c>
    </row>
    <row r="66" spans="1:33" x14ac:dyDescent="0.35">
      <c r="A66" s="60"/>
      <c r="B66" s="60"/>
      <c r="C66" s="60"/>
      <c r="D66" s="60"/>
      <c r="E66" s="60"/>
      <c r="F66" s="60"/>
      <c r="G66" s="60"/>
      <c r="H66" s="60"/>
      <c r="AA66" s="59">
        <f>IF(Clean_Data!A66="","",IFERROR(INDEX($D$7:$D$13,MATCH(Clean_Data!J66,$A$7:$A$13,0)),0))</f>
        <v>1</v>
      </c>
      <c r="AB66" s="59">
        <f>IF(Clean_Data!A66="","",IF(AND(AA66=1,Clean_Data!V66="Yes"),1,0))</f>
        <v>0</v>
      </c>
      <c r="AC66" s="59">
        <f>IF(Clean_Data!A66="","",IF(Clean_Data!W66="Yes",1,0))</f>
        <v>0</v>
      </c>
      <c r="AD66" s="59" t="str">
        <f>IF(AB66=1,Settings!$B$2-Clean_Data!N66+ROW()/100000,"")</f>
        <v/>
      </c>
      <c r="AE66" s="59" t="str">
        <f>IF(AC66=1,Clean_Data!U66+ROW()/100000,"")</f>
        <v/>
      </c>
      <c r="AF66" s="59">
        <f>IF(Clean_Data!A66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66)))&gt;0,1,0))</f>
        <v>1</v>
      </c>
      <c r="AG66" s="59">
        <f>IF(Clean_Data!A66="","",IF(SUMPRODUCT(--ISNUMBER(SEARCH({"DATE_ORDER","DATE_FUTURE","FOLLOWUP_BEFORE"},Clean_Data!S66)))&gt;0,1,0))</f>
        <v>0</v>
      </c>
    </row>
    <row r="67" spans="1:33" x14ac:dyDescent="0.35">
      <c r="A67" s="60"/>
      <c r="B67" s="60"/>
      <c r="C67" s="60"/>
      <c r="D67" s="60"/>
      <c r="E67" s="60"/>
      <c r="F67" s="60"/>
      <c r="G67" s="60"/>
      <c r="H67" s="60"/>
      <c r="AA67" s="59">
        <f>IF(Clean_Data!A67="","",IFERROR(INDEX($D$7:$D$13,MATCH(Clean_Data!J67,$A$7:$A$13,0)),0))</f>
        <v>1</v>
      </c>
      <c r="AB67" s="59">
        <f>IF(Clean_Data!A67="","",IF(AND(AA67=1,Clean_Data!V67="Yes"),1,0))</f>
        <v>0</v>
      </c>
      <c r="AC67" s="59">
        <f>IF(Clean_Data!A67="","",IF(Clean_Data!W67="Yes",1,0))</f>
        <v>0</v>
      </c>
      <c r="AD67" s="59" t="str">
        <f>IF(AB67=1,Settings!$B$2-Clean_Data!N67+ROW()/100000,"")</f>
        <v/>
      </c>
      <c r="AE67" s="59" t="str">
        <f>IF(AC67=1,Clean_Data!U67+ROW()/100000,"")</f>
        <v/>
      </c>
      <c r="AF67" s="59">
        <f>IF(Clean_Data!A67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67)))&gt;0,1,0))</f>
        <v>1</v>
      </c>
      <c r="AG67" s="59">
        <f>IF(Clean_Data!A67="","",IF(SUMPRODUCT(--ISNUMBER(SEARCH({"DATE_ORDER","DATE_FUTURE","FOLLOWUP_BEFORE"},Clean_Data!S67)))&gt;0,1,0))</f>
        <v>0</v>
      </c>
    </row>
    <row r="68" spans="1:33" x14ac:dyDescent="0.35">
      <c r="A68" s="61" t="s">
        <v>875</v>
      </c>
      <c r="B68" s="60"/>
      <c r="C68" s="60"/>
      <c r="D68" s="60"/>
      <c r="E68" s="60"/>
      <c r="F68" s="60"/>
      <c r="G68" s="60"/>
      <c r="H68" s="60"/>
      <c r="AA68" s="59">
        <f>IF(Clean_Data!A68="","",IFERROR(INDEX($D$7:$D$13,MATCH(Clean_Data!J68,$A$7:$A$13,0)),0))</f>
        <v>1</v>
      </c>
      <c r="AB68" s="59">
        <f>IF(Clean_Data!A68="","",IF(AND(AA68=1,Clean_Data!V68="Yes"),1,0))</f>
        <v>1</v>
      </c>
      <c r="AC68" s="59">
        <f>IF(Clean_Data!A68="","",IF(Clean_Data!W68="Yes",1,0))</f>
        <v>0</v>
      </c>
      <c r="AD68" s="59">
        <f>IF(AB68=1,Settings!$B$2-Clean_Data!N68+ROW()/100000,"")</f>
        <v>7.00068</v>
      </c>
      <c r="AE68" s="59" t="str">
        <f>IF(AC68=1,Clean_Data!U68+ROW()/100000,"")</f>
        <v/>
      </c>
      <c r="AF68" s="59">
        <f>IF(Clean_Data!A68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68)))&gt;0,1,0))</f>
        <v>1</v>
      </c>
      <c r="AG68" s="59">
        <f>IF(Clean_Data!A68="","",IF(SUMPRODUCT(--ISNUMBER(SEARCH({"DATE_ORDER","DATE_FUTURE","FOLLOWUP_BEFORE"},Clean_Data!S68)))&gt;0,1,0))</f>
        <v>0</v>
      </c>
    </row>
    <row r="69" spans="1:33" ht="26" x14ac:dyDescent="0.35">
      <c r="A69" s="62" t="s">
        <v>876</v>
      </c>
      <c r="B69" s="62" t="s">
        <v>877</v>
      </c>
      <c r="C69" s="62" t="s">
        <v>878</v>
      </c>
      <c r="D69" s="62" t="s">
        <v>26</v>
      </c>
      <c r="E69" s="68"/>
      <c r="F69" s="62" t="s">
        <v>858</v>
      </c>
      <c r="G69" s="62" t="s">
        <v>878</v>
      </c>
      <c r="H69" s="62" t="s">
        <v>879</v>
      </c>
      <c r="AA69" s="59">
        <f>IF(Clean_Data!A69="","",IFERROR(INDEX($D$7:$D$13,MATCH(Clean_Data!J69,$A$7:$A$13,0)),0))</f>
        <v>1</v>
      </c>
      <c r="AB69" s="59">
        <f>IF(Clean_Data!A69="","",IF(AND(AA69=1,Clean_Data!V69="Yes"),1,0))</f>
        <v>0</v>
      </c>
      <c r="AC69" s="59">
        <f>IF(Clean_Data!A69="","",IF(Clean_Data!W69="Yes",1,0))</f>
        <v>0</v>
      </c>
      <c r="AD69" s="59" t="str">
        <f>IF(AB69=1,Settings!$B$2-Clean_Data!N69+ROW()/100000,"")</f>
        <v/>
      </c>
      <c r="AE69" s="59" t="str">
        <f>IF(AC69=1,Clean_Data!U69+ROW()/100000,"")</f>
        <v/>
      </c>
      <c r="AF69" s="59">
        <f>IF(Clean_Data!A69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69)))&gt;0,1,0))</f>
        <v>1</v>
      </c>
      <c r="AG69" s="59">
        <f>IF(Clean_Data!A69="","",IF(SUMPRODUCT(--ISNUMBER(SEARCH({"DATE_ORDER","DATE_FUTURE","FOLLOWUP_BEFORE"},Clean_Data!S69)))&gt;0,1,0))</f>
        <v>0</v>
      </c>
    </row>
    <row r="70" spans="1:33" x14ac:dyDescent="0.35">
      <c r="A70" s="60">
        <v>1</v>
      </c>
      <c r="B70" s="60">
        <f t="shared" ref="B70:B79" si="4">IFERROR(LARGE($AD$2:$AD$200,A70),"")</f>
        <v>211.00053</v>
      </c>
      <c r="C70" s="60">
        <f t="shared" ref="C70:C79" si="5">IF(B70="","",MATCH(B70,$AD$2:$AD$200,0))</f>
        <v>52</v>
      </c>
      <c r="D70" s="60">
        <f t="shared" ref="D70:D79" si="6">IF(B70="","",INT(B70))</f>
        <v>211</v>
      </c>
      <c r="E70" s="60"/>
      <c r="F70" s="60">
        <f t="shared" ref="F70:F79" si="7">IFERROR(LARGE($AE$2:$AE$200,A70),"")</f>
        <v>331.00054</v>
      </c>
      <c r="G70" s="60">
        <f t="shared" ref="G70:G79" si="8">IF(F70="","",MATCH(F70,$AE$2:$AE$200,0))</f>
        <v>53</v>
      </c>
      <c r="H70" s="60">
        <f t="shared" ref="H70:H79" si="9">IF(F70="","",INT(F70))</f>
        <v>331</v>
      </c>
      <c r="AA70" s="59">
        <f>IF(Clean_Data!A70="","",IFERROR(INDEX($D$7:$D$13,MATCH(Clean_Data!J70,$A$7:$A$13,0)),0))</f>
        <v>0</v>
      </c>
      <c r="AB70" s="59">
        <f>IF(Clean_Data!A70="","",IF(AND(AA70=1,Clean_Data!V70="Yes"),1,0))</f>
        <v>0</v>
      </c>
      <c r="AC70" s="59">
        <f>IF(Clean_Data!A70="","",IF(Clean_Data!W70="Yes",1,0))</f>
        <v>0</v>
      </c>
      <c r="AD70" s="59" t="str">
        <f>IF(AB70=1,Settings!$B$2-Clean_Data!N70+ROW()/100000,"")</f>
        <v/>
      </c>
      <c r="AE70" s="59" t="str">
        <f>IF(AC70=1,Clean_Data!U70+ROW()/100000,"")</f>
        <v/>
      </c>
      <c r="AF70" s="59">
        <f>IF(Clean_Data!A70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70)))&gt;0,1,0))</f>
        <v>1</v>
      </c>
      <c r="AG70" s="59">
        <f>IF(Clean_Data!A70="","",IF(SUMPRODUCT(--ISNUMBER(SEARCH({"DATE_ORDER","DATE_FUTURE","FOLLOWUP_BEFORE"},Clean_Data!S70)))&gt;0,1,0))</f>
        <v>0</v>
      </c>
    </row>
    <row r="71" spans="1:33" x14ac:dyDescent="0.35">
      <c r="A71" s="60">
        <v>2</v>
      </c>
      <c r="B71" s="60">
        <f t="shared" si="4"/>
        <v>181.00058000000001</v>
      </c>
      <c r="C71" s="60">
        <f t="shared" si="5"/>
        <v>57</v>
      </c>
      <c r="D71" s="60">
        <f t="shared" si="6"/>
        <v>181</v>
      </c>
      <c r="E71" s="60"/>
      <c r="F71" s="60">
        <f t="shared" si="7"/>
        <v>228.00053</v>
      </c>
      <c r="G71" s="60">
        <f t="shared" si="8"/>
        <v>52</v>
      </c>
      <c r="H71" s="60">
        <f t="shared" si="9"/>
        <v>228</v>
      </c>
      <c r="AA71" s="59">
        <f>IF(Clean_Data!A71="","",IFERROR(INDEX($D$7:$D$13,MATCH(Clean_Data!J71,$A$7:$A$13,0)),0))</f>
        <v>1</v>
      </c>
      <c r="AB71" s="59">
        <f>IF(Clean_Data!A71="","",IF(AND(AA71=1,Clean_Data!V71="Yes"),1,0))</f>
        <v>1</v>
      </c>
      <c r="AC71" s="59">
        <f>IF(Clean_Data!A71="","",IF(Clean_Data!W71="Yes",1,0))</f>
        <v>1</v>
      </c>
      <c r="AD71" s="59">
        <f>IF(AB71=1,Settings!$B$2-Clean_Data!N71+ROW()/100000,"")</f>
        <v>167.00071</v>
      </c>
      <c r="AE71" s="59">
        <f>IF(AC71=1,Clean_Data!U71+ROW()/100000,"")</f>
        <v>225.00071</v>
      </c>
      <c r="AF71" s="59">
        <f>IF(Clean_Data!A71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71)))&gt;0,1,0))</f>
        <v>1</v>
      </c>
      <c r="AG71" s="59">
        <f>IF(Clean_Data!A71="","",IF(SUMPRODUCT(--ISNUMBER(SEARCH({"DATE_ORDER","DATE_FUTURE","FOLLOWUP_BEFORE"},Clean_Data!S71)))&gt;0,1,0))</f>
        <v>0</v>
      </c>
    </row>
    <row r="72" spans="1:33" x14ac:dyDescent="0.35">
      <c r="A72" s="60">
        <v>3</v>
      </c>
      <c r="B72" s="60">
        <f t="shared" si="4"/>
        <v>179.00021000000001</v>
      </c>
      <c r="C72" s="60">
        <f t="shared" si="5"/>
        <v>20</v>
      </c>
      <c r="D72" s="60">
        <f t="shared" si="6"/>
        <v>179</v>
      </c>
      <c r="E72" s="60"/>
      <c r="F72" s="60">
        <f t="shared" si="7"/>
        <v>225.00071</v>
      </c>
      <c r="G72" s="60">
        <f t="shared" si="8"/>
        <v>70</v>
      </c>
      <c r="H72" s="60">
        <f t="shared" si="9"/>
        <v>225</v>
      </c>
      <c r="AA72" s="59">
        <f>IF(Clean_Data!A72="","",IFERROR(INDEX($D$7:$D$13,MATCH(Clean_Data!J72,$A$7:$A$13,0)),0))</f>
        <v>1</v>
      </c>
      <c r="AB72" s="59">
        <f>IF(Clean_Data!A72="","",IF(AND(AA72=1,Clean_Data!V72="Yes"),1,0))</f>
        <v>1</v>
      </c>
      <c r="AC72" s="59">
        <f>IF(Clean_Data!A72="","",IF(Clean_Data!W72="Yes",1,0))</f>
        <v>0</v>
      </c>
      <c r="AD72" s="59">
        <f>IF(AB72=1,Settings!$B$2-Clean_Data!N72+ROW()/100000,"")</f>
        <v>37.000720000000001</v>
      </c>
      <c r="AE72" s="59" t="str">
        <f>IF(AC72=1,Clean_Data!U72+ROW()/100000,"")</f>
        <v/>
      </c>
      <c r="AF72" s="59">
        <f>IF(Clean_Data!A72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72)))&gt;0,1,0))</f>
        <v>0</v>
      </c>
      <c r="AG72" s="59">
        <f>IF(Clean_Data!A72="","",IF(SUMPRODUCT(--ISNUMBER(SEARCH({"DATE_ORDER","DATE_FUTURE","FOLLOWUP_BEFORE"},Clean_Data!S72)))&gt;0,1,0))</f>
        <v>0</v>
      </c>
    </row>
    <row r="73" spans="1:33" x14ac:dyDescent="0.35">
      <c r="A73" s="60">
        <v>4</v>
      </c>
      <c r="B73" s="60">
        <f t="shared" si="4"/>
        <v>173.00019</v>
      </c>
      <c r="C73" s="60">
        <f t="shared" si="5"/>
        <v>18</v>
      </c>
      <c r="D73" s="60">
        <f t="shared" si="6"/>
        <v>173</v>
      </c>
      <c r="E73" s="60"/>
      <c r="F73" s="60">
        <f t="shared" si="7"/>
        <v>223.00003000000001</v>
      </c>
      <c r="G73" s="60">
        <f t="shared" si="8"/>
        <v>2</v>
      </c>
      <c r="H73" s="60">
        <f t="shared" si="9"/>
        <v>223</v>
      </c>
      <c r="AA73" s="59">
        <f>IF(Clean_Data!A73="","",IFERROR(INDEX($D$7:$D$13,MATCH(Clean_Data!J73,$A$7:$A$13,0)),0))</f>
        <v>1</v>
      </c>
      <c r="AB73" s="59">
        <f>IF(Clean_Data!A73="","",IF(AND(AA73=1,Clean_Data!V73="Yes"),1,0))</f>
        <v>0</v>
      </c>
      <c r="AC73" s="59">
        <f>IF(Clean_Data!A73="","",IF(Clean_Data!W73="Yes",1,0))</f>
        <v>0</v>
      </c>
      <c r="AD73" s="59" t="str">
        <f>IF(AB73=1,Settings!$B$2-Clean_Data!N73+ROW()/100000,"")</f>
        <v/>
      </c>
      <c r="AE73" s="59" t="str">
        <f>IF(AC73=1,Clean_Data!U73+ROW()/100000,"")</f>
        <v/>
      </c>
      <c r="AF73" s="59">
        <f>IF(Clean_Data!A73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73)))&gt;0,1,0))</f>
        <v>0</v>
      </c>
      <c r="AG73" s="59">
        <f>IF(Clean_Data!A73="","",IF(SUMPRODUCT(--ISNUMBER(SEARCH({"DATE_ORDER","DATE_FUTURE","FOLLOWUP_BEFORE"},Clean_Data!S73)))&gt;0,1,0))</f>
        <v>0</v>
      </c>
    </row>
    <row r="74" spans="1:33" x14ac:dyDescent="0.35">
      <c r="A74" s="60">
        <v>5</v>
      </c>
      <c r="B74" s="60">
        <f t="shared" si="4"/>
        <v>169.00003000000001</v>
      </c>
      <c r="C74" s="60">
        <f t="shared" si="5"/>
        <v>2</v>
      </c>
      <c r="D74" s="60">
        <f t="shared" si="6"/>
        <v>169</v>
      </c>
      <c r="E74" s="60"/>
      <c r="F74" s="60">
        <f t="shared" si="7"/>
        <v>222.00058000000001</v>
      </c>
      <c r="G74" s="60">
        <f t="shared" si="8"/>
        <v>57</v>
      </c>
      <c r="H74" s="60">
        <f t="shared" si="9"/>
        <v>222</v>
      </c>
      <c r="AA74" s="59">
        <f>IF(Clean_Data!A74="","",IFERROR(INDEX($D$7:$D$13,MATCH(Clean_Data!J74,$A$7:$A$13,0)),0))</f>
        <v>1</v>
      </c>
      <c r="AB74" s="59">
        <f>IF(Clean_Data!A74="","",IF(AND(AA74=1,Clean_Data!V74="Yes"),1,0))</f>
        <v>0</v>
      </c>
      <c r="AC74" s="59">
        <f>IF(Clean_Data!A74="","",IF(Clean_Data!W74="Yes",1,0))</f>
        <v>0</v>
      </c>
      <c r="AD74" s="59" t="str">
        <f>IF(AB74=1,Settings!$B$2-Clean_Data!N74+ROW()/100000,"")</f>
        <v/>
      </c>
      <c r="AE74" s="59" t="str">
        <f>IF(AC74=1,Clean_Data!U74+ROW()/100000,"")</f>
        <v/>
      </c>
      <c r="AF74" s="59">
        <f>IF(Clean_Data!A74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74)))&gt;0,1,0))</f>
        <v>0</v>
      </c>
      <c r="AG74" s="59">
        <f>IF(Clean_Data!A74="","",IF(SUMPRODUCT(--ISNUMBER(SEARCH({"DATE_ORDER","DATE_FUTURE","FOLLOWUP_BEFORE"},Clean_Data!S74)))&gt;0,1,0))</f>
        <v>0</v>
      </c>
    </row>
    <row r="75" spans="1:33" x14ac:dyDescent="0.35">
      <c r="A75" s="60">
        <v>6</v>
      </c>
      <c r="B75" s="60">
        <f t="shared" si="4"/>
        <v>167.00071</v>
      </c>
      <c r="C75" s="60">
        <f t="shared" si="5"/>
        <v>70</v>
      </c>
      <c r="D75" s="60">
        <f t="shared" si="6"/>
        <v>167</v>
      </c>
      <c r="E75" s="60"/>
      <c r="F75" s="60">
        <f t="shared" si="7"/>
        <v>218.00021000000001</v>
      </c>
      <c r="G75" s="60">
        <f t="shared" si="8"/>
        <v>20</v>
      </c>
      <c r="H75" s="60">
        <f t="shared" si="9"/>
        <v>218</v>
      </c>
      <c r="AA75" s="59">
        <f>IF(Clean_Data!A75="","",IFERROR(INDEX($D$7:$D$13,MATCH(Clean_Data!J75,$A$7:$A$13,0)),0))</f>
        <v>0</v>
      </c>
      <c r="AB75" s="59">
        <f>IF(Clean_Data!A75="","",IF(AND(AA75=1,Clean_Data!V75="Yes"),1,0))</f>
        <v>0</v>
      </c>
      <c r="AC75" s="59">
        <f>IF(Clean_Data!A75="","",IF(Clean_Data!W75="Yes",1,0))</f>
        <v>0</v>
      </c>
      <c r="AD75" s="59" t="str">
        <f>IF(AB75=1,Settings!$B$2-Clean_Data!N75+ROW()/100000,"")</f>
        <v/>
      </c>
      <c r="AE75" s="59" t="str">
        <f>IF(AC75=1,Clean_Data!U75+ROW()/100000,"")</f>
        <v/>
      </c>
      <c r="AF75" s="59">
        <f>IF(Clean_Data!A75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75)))&gt;0,1,0))</f>
        <v>1</v>
      </c>
      <c r="AG75" s="59">
        <f>IF(Clean_Data!A75="","",IF(SUMPRODUCT(--ISNUMBER(SEARCH({"DATE_ORDER","DATE_FUTURE","FOLLOWUP_BEFORE"},Clean_Data!S75)))&gt;0,1,0))</f>
        <v>0</v>
      </c>
    </row>
    <row r="76" spans="1:33" x14ac:dyDescent="0.35">
      <c r="A76" s="60">
        <v>7</v>
      </c>
      <c r="B76" s="60">
        <f t="shared" si="4"/>
        <v>98.000510000000006</v>
      </c>
      <c r="C76" s="60">
        <f t="shared" si="5"/>
        <v>50</v>
      </c>
      <c r="D76" s="60">
        <f t="shared" si="6"/>
        <v>98</v>
      </c>
      <c r="E76" s="60"/>
      <c r="F76" s="60">
        <f t="shared" si="7"/>
        <v>214.00019</v>
      </c>
      <c r="G76" s="60">
        <f t="shared" si="8"/>
        <v>18</v>
      </c>
      <c r="H76" s="60">
        <f t="shared" si="9"/>
        <v>214</v>
      </c>
      <c r="AA76" s="59">
        <f>IF(Clean_Data!A76="","",IFERROR(INDEX($D$7:$D$13,MATCH(Clean_Data!J76,$A$7:$A$13,0)),0))</f>
        <v>0</v>
      </c>
      <c r="AB76" s="59">
        <f>IF(Clean_Data!A76="","",IF(AND(AA76=1,Clean_Data!V76="Yes"),1,0))</f>
        <v>0</v>
      </c>
      <c r="AC76" s="59">
        <f>IF(Clean_Data!A76="","",IF(Clean_Data!W76="Yes",1,0))</f>
        <v>0</v>
      </c>
      <c r="AD76" s="59" t="str">
        <f>IF(AB76=1,Settings!$B$2-Clean_Data!N76+ROW()/100000,"")</f>
        <v/>
      </c>
      <c r="AE76" s="59" t="str">
        <f>IF(AC76=1,Clean_Data!U76+ROW()/100000,"")</f>
        <v/>
      </c>
      <c r="AF76" s="59">
        <f>IF(Clean_Data!A76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76)))&gt;0,1,0))</f>
        <v>0</v>
      </c>
      <c r="AG76" s="59">
        <f>IF(Clean_Data!A76="","",IF(SUMPRODUCT(--ISNUMBER(SEARCH({"DATE_ORDER","DATE_FUTURE","FOLLOWUP_BEFORE"},Clean_Data!S76)))&gt;0,1,0))</f>
        <v>0</v>
      </c>
    </row>
    <row r="77" spans="1:33" x14ac:dyDescent="0.35">
      <c r="A77" s="60">
        <v>8</v>
      </c>
      <c r="B77" s="60">
        <f t="shared" si="4"/>
        <v>91.000429999999994</v>
      </c>
      <c r="C77" s="60">
        <f t="shared" si="5"/>
        <v>42</v>
      </c>
      <c r="D77" s="60">
        <f t="shared" si="6"/>
        <v>91</v>
      </c>
      <c r="E77" s="60"/>
      <c r="F77" s="60">
        <f t="shared" si="7"/>
        <v>141.00050999999999</v>
      </c>
      <c r="G77" s="60">
        <f t="shared" si="8"/>
        <v>50</v>
      </c>
      <c r="H77" s="60">
        <f t="shared" si="9"/>
        <v>141</v>
      </c>
      <c r="AA77" s="59">
        <f>IF(Clean_Data!A77="","",IFERROR(INDEX($D$7:$D$13,MATCH(Clean_Data!J77,$A$7:$A$13,0)),0))</f>
        <v>1</v>
      </c>
      <c r="AB77" s="59">
        <f>IF(Clean_Data!A77="","",IF(AND(AA77=1,Clean_Data!V77="Yes"),1,0))</f>
        <v>0</v>
      </c>
      <c r="AC77" s="59">
        <f>IF(Clean_Data!A77="","",IF(Clean_Data!W77="Yes",1,0))</f>
        <v>0</v>
      </c>
      <c r="AD77" s="59" t="str">
        <f>IF(AB77=1,Settings!$B$2-Clean_Data!N77+ROW()/100000,"")</f>
        <v/>
      </c>
      <c r="AE77" s="59" t="str">
        <f>IF(AC77=1,Clean_Data!U77+ROW()/100000,"")</f>
        <v/>
      </c>
      <c r="AF77" s="59">
        <f>IF(Clean_Data!A77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77)))&gt;0,1,0))</f>
        <v>1</v>
      </c>
      <c r="AG77" s="59">
        <f>IF(Clean_Data!A77="","",IF(SUMPRODUCT(--ISNUMBER(SEARCH({"DATE_ORDER","DATE_FUTURE","FOLLOWUP_BEFORE"},Clean_Data!S77)))&gt;0,1,0))</f>
        <v>0</v>
      </c>
    </row>
    <row r="78" spans="1:33" x14ac:dyDescent="0.35">
      <c r="A78" s="60">
        <v>9</v>
      </c>
      <c r="B78" s="60">
        <f t="shared" si="4"/>
        <v>86.000129999999999</v>
      </c>
      <c r="C78" s="60">
        <f t="shared" si="5"/>
        <v>12</v>
      </c>
      <c r="D78" s="60">
        <f t="shared" si="6"/>
        <v>86</v>
      </c>
      <c r="E78" s="60"/>
      <c r="F78" s="60">
        <f t="shared" si="7"/>
        <v>132.00042999999999</v>
      </c>
      <c r="G78" s="60">
        <f t="shared" si="8"/>
        <v>42</v>
      </c>
      <c r="H78" s="60">
        <f t="shared" si="9"/>
        <v>132</v>
      </c>
      <c r="AA78" s="59">
        <f>IF(Clean_Data!A78="","",IFERROR(INDEX($D$7:$D$13,MATCH(Clean_Data!J78,$A$7:$A$13,0)),0))</f>
        <v>1</v>
      </c>
      <c r="AB78" s="59">
        <f>IF(Clean_Data!A78="","",IF(AND(AA78=1,Clean_Data!V78="Yes"),1,0))</f>
        <v>0</v>
      </c>
      <c r="AC78" s="59">
        <f>IF(Clean_Data!A78="","",IF(Clean_Data!W78="Yes",1,0))</f>
        <v>0</v>
      </c>
      <c r="AD78" s="59" t="str">
        <f>IF(AB78=1,Settings!$B$2-Clean_Data!N78+ROW()/100000,"")</f>
        <v/>
      </c>
      <c r="AE78" s="59" t="str">
        <f>IF(AC78=1,Clean_Data!U78+ROW()/100000,"")</f>
        <v/>
      </c>
      <c r="AF78" s="59">
        <f>IF(Clean_Data!A78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78)))&gt;0,1,0))</f>
        <v>1</v>
      </c>
      <c r="AG78" s="59">
        <f>IF(Clean_Data!A78="","",IF(SUMPRODUCT(--ISNUMBER(SEARCH({"DATE_ORDER","DATE_FUTURE","FOLLOWUP_BEFORE"},Clean_Data!S78)))&gt;0,1,0))</f>
        <v>0</v>
      </c>
    </row>
    <row r="79" spans="1:33" x14ac:dyDescent="0.35">
      <c r="A79" s="60">
        <v>10</v>
      </c>
      <c r="B79" s="60">
        <f t="shared" si="4"/>
        <v>77.000810000000001</v>
      </c>
      <c r="C79" s="60">
        <f t="shared" si="5"/>
        <v>80</v>
      </c>
      <c r="D79" s="60">
        <f t="shared" si="6"/>
        <v>77</v>
      </c>
      <c r="E79" s="60"/>
      <c r="F79" s="60">
        <f t="shared" si="7"/>
        <v>128.00024999999999</v>
      </c>
      <c r="G79" s="60">
        <f t="shared" si="8"/>
        <v>24</v>
      </c>
      <c r="H79" s="60">
        <f t="shared" si="9"/>
        <v>128</v>
      </c>
      <c r="AA79" s="59">
        <f>IF(Clean_Data!A79="","",IFERROR(INDEX($D$7:$D$13,MATCH(Clean_Data!J79,$A$7:$A$13,0)),0))</f>
        <v>0</v>
      </c>
      <c r="AB79" s="59">
        <f>IF(Clean_Data!A79="","",IF(AND(AA79=1,Clean_Data!V79="Yes"),1,0))</f>
        <v>0</v>
      </c>
      <c r="AC79" s="59">
        <f>IF(Clean_Data!A79="","",IF(Clean_Data!W79="Yes",1,0))</f>
        <v>0</v>
      </c>
      <c r="AD79" s="59" t="str">
        <f>IF(AB79=1,Settings!$B$2-Clean_Data!N79+ROW()/100000,"")</f>
        <v/>
      </c>
      <c r="AE79" s="59" t="str">
        <f>IF(AC79=1,Clean_Data!U79+ROW()/100000,"")</f>
        <v/>
      </c>
      <c r="AF79" s="59">
        <f>IF(Clean_Data!A79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79)))&gt;0,1,0))</f>
        <v>1</v>
      </c>
      <c r="AG79" s="59">
        <f>IF(Clean_Data!A79="","",IF(SUMPRODUCT(--ISNUMBER(SEARCH({"DATE_ORDER","DATE_FUTURE","FOLLOWUP_BEFORE"},Clean_Data!S79)))&gt;0,1,0))</f>
        <v>1</v>
      </c>
    </row>
    <row r="80" spans="1:33" x14ac:dyDescent="0.35">
      <c r="A80" s="60"/>
      <c r="B80" s="60"/>
      <c r="C80" s="60"/>
      <c r="D80" s="60"/>
      <c r="E80" s="60"/>
      <c r="F80" s="60"/>
      <c r="G80" s="60"/>
      <c r="H80" s="60"/>
      <c r="AA80" s="59">
        <f>IF(Clean_Data!A80="","",IFERROR(INDEX($D$7:$D$13,MATCH(Clean_Data!J80,$A$7:$A$13,0)),0))</f>
        <v>1</v>
      </c>
      <c r="AB80" s="59">
        <f>IF(Clean_Data!A80="","",IF(AND(AA80=1,Clean_Data!V80="Yes"),1,0))</f>
        <v>1</v>
      </c>
      <c r="AC80" s="59">
        <f>IF(Clean_Data!A80="","",IF(Clean_Data!W80="Yes",1,0))</f>
        <v>0</v>
      </c>
      <c r="AD80" s="59">
        <f>IF(AB80=1,Settings!$B$2-Clean_Data!N80+ROW()/100000,"")</f>
        <v>74.000799999999998</v>
      </c>
      <c r="AE80" s="59" t="str">
        <f>IF(AC80=1,Clean_Data!U80+ROW()/100000,"")</f>
        <v/>
      </c>
      <c r="AF80" s="59">
        <f>IF(Clean_Data!A80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80)))&gt;0,1,0))</f>
        <v>1</v>
      </c>
      <c r="AG80" s="59">
        <f>IF(Clean_Data!A80="","",IF(SUMPRODUCT(--ISNUMBER(SEARCH({"DATE_ORDER","DATE_FUTURE","FOLLOWUP_BEFORE"},Clean_Data!S80)))&gt;0,1,0))</f>
        <v>0</v>
      </c>
    </row>
    <row r="81" spans="1:33" x14ac:dyDescent="0.35">
      <c r="A81" s="60"/>
      <c r="B81" s="60"/>
      <c r="C81" s="60"/>
      <c r="D81" s="60"/>
      <c r="E81" s="60"/>
      <c r="F81" s="60"/>
      <c r="G81" s="60"/>
      <c r="H81" s="60"/>
      <c r="AA81" s="59">
        <f>IF(Clean_Data!A81="","",IFERROR(INDEX($D$7:$D$13,MATCH(Clean_Data!J81,$A$7:$A$13,0)),0))</f>
        <v>1</v>
      </c>
      <c r="AB81" s="59">
        <f>IF(Clean_Data!A81="","",IF(AND(AA81=1,Clean_Data!V81="Yes"),1,0))</f>
        <v>1</v>
      </c>
      <c r="AC81" s="59">
        <f>IF(Clean_Data!A81="","",IF(Clean_Data!W81="Yes",1,0))</f>
        <v>1</v>
      </c>
      <c r="AD81" s="59">
        <f>IF(AB81=1,Settings!$B$2-Clean_Data!N81+ROW()/100000,"")</f>
        <v>77.000810000000001</v>
      </c>
      <c r="AE81" s="59">
        <f>IF(AC81=1,Clean_Data!U81+ROW()/100000,"")</f>
        <v>95.000810000000001</v>
      </c>
      <c r="AF81" s="59">
        <f>IF(Clean_Data!A81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81)))&gt;0,1,0))</f>
        <v>1</v>
      </c>
      <c r="AG81" s="59">
        <f>IF(Clean_Data!A81="","",IF(SUMPRODUCT(--ISNUMBER(SEARCH({"DATE_ORDER","DATE_FUTURE","FOLLOWUP_BEFORE"},Clean_Data!S81)))&gt;0,1,0))</f>
        <v>0</v>
      </c>
    </row>
    <row r="82" spans="1:33" x14ac:dyDescent="0.35">
      <c r="A82" s="61" t="s">
        <v>880</v>
      </c>
      <c r="B82" s="60"/>
      <c r="C82" s="60"/>
      <c r="D82" s="60"/>
      <c r="E82" s="60"/>
      <c r="F82" s="60"/>
      <c r="G82" s="60"/>
      <c r="H82" s="60"/>
      <c r="AA82" s="59">
        <f>IF(Clean_Data!A82="","",IFERROR(INDEX($D$7:$D$13,MATCH(Clean_Data!J82,$A$7:$A$13,0)),0))</f>
        <v>1</v>
      </c>
      <c r="AB82" s="59">
        <f>IF(Clean_Data!A82="","",IF(AND(AA82=1,Clean_Data!V82="Yes"),1,0))</f>
        <v>1</v>
      </c>
      <c r="AC82" s="59">
        <f>IF(Clean_Data!A82="","",IF(Clean_Data!W82="Yes",1,0))</f>
        <v>1</v>
      </c>
      <c r="AD82" s="59">
        <f>IF(AB82=1,Settings!$B$2-Clean_Data!N82+ROW()/100000,"")</f>
        <v>59.000819999999997</v>
      </c>
      <c r="AE82" s="59">
        <f>IF(AC82=1,Clean_Data!U82+ROW()/100000,"")</f>
        <v>108.00082</v>
      </c>
      <c r="AF82" s="59">
        <f>IF(Clean_Data!A82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82)))&gt;0,1,0))</f>
        <v>1</v>
      </c>
      <c r="AG82" s="59">
        <f>IF(Clean_Data!A82="","",IF(SUMPRODUCT(--ISNUMBER(SEARCH({"DATE_ORDER","DATE_FUTURE","FOLLOWUP_BEFORE"},Clean_Data!S82)))&gt;0,1,0))</f>
        <v>0</v>
      </c>
    </row>
    <row r="83" spans="1:33" x14ac:dyDescent="0.35">
      <c r="A83" s="62" t="s">
        <v>29</v>
      </c>
      <c r="B83" s="62" t="s">
        <v>30</v>
      </c>
      <c r="C83" s="62" t="s">
        <v>31</v>
      </c>
      <c r="D83" s="60"/>
      <c r="E83" s="60"/>
      <c r="F83" s="60"/>
      <c r="G83" s="60"/>
      <c r="H83" s="60"/>
      <c r="AA83" s="59">
        <f>IF(Clean_Data!A83="","",IFERROR(INDEX($D$7:$D$13,MATCH(Clean_Data!J83,$A$7:$A$13,0)),0))</f>
        <v>1</v>
      </c>
      <c r="AB83" s="59">
        <f>IF(Clean_Data!A83="","",IF(AND(AA83=1,Clean_Data!V83="Yes"),1,0))</f>
        <v>0</v>
      </c>
      <c r="AC83" s="59">
        <f>IF(Clean_Data!A83="","",IF(Clean_Data!W83="Yes",1,0))</f>
        <v>0</v>
      </c>
      <c r="AD83" s="59" t="str">
        <f>IF(AB83=1,Settings!$B$2-Clean_Data!N83+ROW()/100000,"")</f>
        <v/>
      </c>
      <c r="AE83" s="59" t="str">
        <f>IF(AC83=1,Clean_Data!U83+ROW()/100000,"")</f>
        <v/>
      </c>
      <c r="AF83" s="59">
        <f>IF(Clean_Data!A83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83)))&gt;0,1,0))</f>
        <v>1</v>
      </c>
      <c r="AG83" s="59">
        <f>IF(Clean_Data!A83="","",IF(SUMPRODUCT(--ISNUMBER(SEARCH({"DATE_ORDER","DATE_FUTURE","FOLLOWUP_BEFORE"},Clean_Data!S83)))&gt;0,1,0))</f>
        <v>0</v>
      </c>
    </row>
    <row r="84" spans="1:33" x14ac:dyDescent="0.35">
      <c r="A84" s="60" t="s">
        <v>881</v>
      </c>
      <c r="B84" s="60">
        <f>COUNTIF(Clean_Data!$K$2:$K$200,"Unassigned")</f>
        <v>8</v>
      </c>
      <c r="C84" s="63">
        <f t="shared" ref="C84:C93" si="10">IF($B$14=0,0,B84/$B$14)</f>
        <v>9.5238095238095233E-2</v>
      </c>
      <c r="D84" s="60"/>
      <c r="E84" s="60"/>
      <c r="F84" s="60"/>
      <c r="G84" s="60"/>
      <c r="H84" s="60"/>
      <c r="AA84" s="59">
        <f>IF(Clean_Data!A84="","",IFERROR(INDEX($D$7:$D$13,MATCH(Clean_Data!J84,$A$7:$A$13,0)),0))</f>
        <v>1</v>
      </c>
      <c r="AB84" s="59">
        <f>IF(Clean_Data!A84="","",IF(AND(AA84=1,Clean_Data!V84="Yes"),1,0))</f>
        <v>1</v>
      </c>
      <c r="AC84" s="59">
        <f>IF(Clean_Data!A84="","",IF(Clean_Data!W84="Yes",1,0))</f>
        <v>0</v>
      </c>
      <c r="AD84" s="59">
        <f>IF(AB84=1,Settings!$B$2-Clean_Data!N84+ROW()/100000,"")</f>
        <v>26.00084</v>
      </c>
      <c r="AE84" s="59" t="str">
        <f>IF(AC84=1,Clean_Data!U84+ROW()/100000,"")</f>
        <v/>
      </c>
      <c r="AF84" s="59">
        <f>IF(Clean_Data!A84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84)))&gt;0,1,0))</f>
        <v>0</v>
      </c>
      <c r="AG84" s="59">
        <f>IF(Clean_Data!A84="","",IF(SUMPRODUCT(--ISNUMBER(SEARCH({"DATE_ORDER","DATE_FUTURE","FOLLOWUP_BEFORE"},Clean_Data!S84)))&gt;0,1,0))</f>
        <v>0</v>
      </c>
    </row>
    <row r="85" spans="1:33" x14ac:dyDescent="0.35">
      <c r="A85" s="60" t="s">
        <v>882</v>
      </c>
      <c r="B85" s="60">
        <f>COUNTIF(Clean_Data!$G$2:$G$200,"No")+COUNTIF(Clean_Data!$G$2:$G$200,"Missing")</f>
        <v>13</v>
      </c>
      <c r="C85" s="63">
        <f t="shared" si="10"/>
        <v>0.15476190476190477</v>
      </c>
      <c r="D85" s="60"/>
      <c r="E85" s="60"/>
      <c r="F85" s="60"/>
      <c r="G85" s="60"/>
      <c r="H85" s="60"/>
      <c r="AA85" s="59">
        <f>IF(Clean_Data!A85="","",IFERROR(INDEX($D$7:$D$13,MATCH(Clean_Data!J85,$A$7:$A$13,0)),0))</f>
        <v>0</v>
      </c>
      <c r="AB85" s="59">
        <f>IF(Clean_Data!A85="","",IF(AND(AA85=1,Clean_Data!V85="Yes"),1,0))</f>
        <v>0</v>
      </c>
      <c r="AC85" s="59">
        <f>IF(Clean_Data!A85="","",IF(Clean_Data!W85="Yes",1,0))</f>
        <v>0</v>
      </c>
      <c r="AD85" s="59" t="str">
        <f>IF(AB85=1,Settings!$B$2-Clean_Data!N85+ROW()/100000,"")</f>
        <v/>
      </c>
      <c r="AE85" s="59" t="str">
        <f>IF(AC85=1,Clean_Data!U85+ROW()/100000,"")</f>
        <v/>
      </c>
      <c r="AF85" s="59">
        <f>IF(Clean_Data!A85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85)))&gt;0,1,0))</f>
        <v>1</v>
      </c>
      <c r="AG85" s="59">
        <f>IF(Clean_Data!A85="","",IF(SUMPRODUCT(--ISNUMBER(SEARCH({"DATE_ORDER","DATE_FUTURE","FOLLOWUP_BEFORE"},Clean_Data!S85)))&gt;0,1,0))</f>
        <v>0</v>
      </c>
    </row>
    <row r="86" spans="1:33" x14ac:dyDescent="0.35">
      <c r="A86" s="60" t="s">
        <v>883</v>
      </c>
      <c r="B86" s="60">
        <f>COUNTIF(Clean_Data!$I$2:$I$200,"No")+COUNTIF(Clean_Data!$I$2:$I$200,"Missing")</f>
        <v>12</v>
      </c>
      <c r="C86" s="63">
        <f t="shared" si="10"/>
        <v>0.14285714285714285</v>
      </c>
      <c r="D86" s="60"/>
      <c r="E86" s="60"/>
      <c r="F86" s="60"/>
      <c r="G86" s="60"/>
      <c r="H86" s="60"/>
      <c r="AA86" s="59" t="str">
        <f>IF(Clean_Data!A86="","",IFERROR(INDEX($D$7:$D$13,MATCH(Clean_Data!J86,$A$7:$A$13,0)),0))</f>
        <v/>
      </c>
      <c r="AB86" s="59" t="str">
        <f>IF(Clean_Data!A86="","",IF(AND(AA86=1,Clean_Data!V86="Yes"),1,0))</f>
        <v/>
      </c>
      <c r="AC86" s="59" t="str">
        <f>IF(Clean_Data!A86="","",IF(Clean_Data!W86="Yes",1,0))</f>
        <v/>
      </c>
      <c r="AD86" s="59" t="str">
        <f>IF(AB86=1,Settings!$B$2-Clean_Data!N86+ROW()/100000,"")</f>
        <v/>
      </c>
      <c r="AE86" s="59" t="str">
        <f>IF(AC86=1,Clean_Data!U86+ROW()/100000,"")</f>
        <v/>
      </c>
      <c r="AF86" s="59" t="str">
        <f>IF(Clean_Data!A86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86)))&gt;0,1,0))</f>
        <v/>
      </c>
      <c r="AG86" s="59" t="str">
        <f>IF(Clean_Data!A86="","",IF(SUMPRODUCT(--ISNUMBER(SEARCH({"DATE_ORDER","DATE_FUTURE","FOLLOWUP_BEFORE"},Clean_Data!S86)))&gt;0,1,0))</f>
        <v/>
      </c>
    </row>
    <row r="87" spans="1:33" x14ac:dyDescent="0.35">
      <c r="A87" s="60" t="s">
        <v>884</v>
      </c>
      <c r="B87" s="60">
        <f>COUNTIF(Clean_Data!$S$2:$S$200,"*STATUS_CONFLICT*")</f>
        <v>7</v>
      </c>
      <c r="C87" s="63">
        <f t="shared" si="10"/>
        <v>8.3333333333333329E-2</v>
      </c>
      <c r="D87" s="60"/>
      <c r="E87" s="60"/>
      <c r="F87" s="60"/>
      <c r="G87" s="60"/>
      <c r="H87" s="60"/>
      <c r="AA87" s="59" t="str">
        <f>IF(Clean_Data!A87="","",IFERROR(INDEX($D$7:$D$13,MATCH(Clean_Data!J87,$A$7:$A$13,0)),0))</f>
        <v/>
      </c>
      <c r="AB87" s="59" t="str">
        <f>IF(Clean_Data!A87="","",IF(AND(AA87=1,Clean_Data!V87="Yes"),1,0))</f>
        <v/>
      </c>
      <c r="AC87" s="59" t="str">
        <f>IF(Clean_Data!A87="","",IF(Clean_Data!W87="Yes",1,0))</f>
        <v/>
      </c>
      <c r="AD87" s="59" t="str">
        <f>IF(AB87=1,Settings!$B$2-Clean_Data!N87+ROW()/100000,"")</f>
        <v/>
      </c>
      <c r="AE87" s="59" t="str">
        <f>IF(AC87=1,Clean_Data!U87+ROW()/100000,"")</f>
        <v/>
      </c>
      <c r="AF87" s="59" t="str">
        <f>IF(Clean_Data!A87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87)))&gt;0,1,0))</f>
        <v/>
      </c>
      <c r="AG87" s="59" t="str">
        <f>IF(Clean_Data!A87="","",IF(SUMPRODUCT(--ISNUMBER(SEARCH({"DATE_ORDER","DATE_FUTURE","FOLLOWUP_BEFORE"},Clean_Data!S87)))&gt;0,1,0))</f>
        <v/>
      </c>
    </row>
    <row r="88" spans="1:33" x14ac:dyDescent="0.35">
      <c r="A88" s="60" t="s">
        <v>885</v>
      </c>
      <c r="B88" s="60">
        <f>SUM($AG$2:$AG$200)</f>
        <v>7</v>
      </c>
      <c r="C88" s="63">
        <f t="shared" si="10"/>
        <v>8.3333333333333329E-2</v>
      </c>
      <c r="D88" s="60"/>
      <c r="E88" s="60"/>
      <c r="F88" s="60"/>
      <c r="G88" s="60"/>
      <c r="H88" s="60"/>
      <c r="AA88" s="59" t="str">
        <f>IF(Clean_Data!A88="","",IFERROR(INDEX($D$7:$D$13,MATCH(Clean_Data!J88,$A$7:$A$13,0)),0))</f>
        <v/>
      </c>
      <c r="AB88" s="59" t="str">
        <f>IF(Clean_Data!A88="","",IF(AND(AA88=1,Clean_Data!V88="Yes"),1,0))</f>
        <v/>
      </c>
      <c r="AC88" s="59" t="str">
        <f>IF(Clean_Data!A88="","",IF(Clean_Data!W88="Yes",1,0))</f>
        <v/>
      </c>
      <c r="AD88" s="59" t="str">
        <f>IF(AB88=1,Settings!$B$2-Clean_Data!N88+ROW()/100000,"")</f>
        <v/>
      </c>
      <c r="AE88" s="59" t="str">
        <f>IF(AC88=1,Clean_Data!U88+ROW()/100000,"")</f>
        <v/>
      </c>
      <c r="AF88" s="59" t="str">
        <f>IF(Clean_Data!A88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88)))&gt;0,1,0))</f>
        <v/>
      </c>
      <c r="AG88" s="59" t="str">
        <f>IF(Clean_Data!A88="","",IF(SUMPRODUCT(--ISNUMBER(SEARCH({"DATE_ORDER","DATE_FUTURE","FOLLOWUP_BEFORE"},Clean_Data!S88)))&gt;0,1,0))</f>
        <v/>
      </c>
    </row>
    <row r="89" spans="1:33" x14ac:dyDescent="0.35">
      <c r="A89" s="60" t="s">
        <v>886</v>
      </c>
      <c r="B89" s="60">
        <f>COUNTIF(Clean_Data!$S$2:$S$200,"*FOLLOWUP_MISSING*")</f>
        <v>7</v>
      </c>
      <c r="C89" s="63">
        <f t="shared" si="10"/>
        <v>8.3333333333333329E-2</v>
      </c>
      <c r="D89" s="60"/>
      <c r="E89" s="60"/>
      <c r="F89" s="60"/>
      <c r="G89" s="60"/>
      <c r="H89" s="60"/>
      <c r="AA89" s="59" t="str">
        <f>IF(Clean_Data!A89="","",IFERROR(INDEX($D$7:$D$13,MATCH(Clean_Data!J89,$A$7:$A$13,0)),0))</f>
        <v/>
      </c>
      <c r="AB89" s="59" t="str">
        <f>IF(Clean_Data!A89="","",IF(AND(AA89=1,Clean_Data!V89="Yes"),1,0))</f>
        <v/>
      </c>
      <c r="AC89" s="59" t="str">
        <f>IF(Clean_Data!A89="","",IF(Clean_Data!W89="Yes",1,0))</f>
        <v/>
      </c>
      <c r="AD89" s="59" t="str">
        <f>IF(AB89=1,Settings!$B$2-Clean_Data!N89+ROW()/100000,"")</f>
        <v/>
      </c>
      <c r="AE89" s="59" t="str">
        <f>IF(AC89=1,Clean_Data!U89+ROW()/100000,"")</f>
        <v/>
      </c>
      <c r="AF89" s="59" t="str">
        <f>IF(Clean_Data!A89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89)))&gt;0,1,0))</f>
        <v/>
      </c>
      <c r="AG89" s="59" t="str">
        <f>IF(Clean_Data!A89="","",IF(SUMPRODUCT(--ISNUMBER(SEARCH({"DATE_ORDER","DATE_FUTURE","FOLLOWUP_BEFORE"},Clean_Data!S89)))&gt;0,1,0))</f>
        <v/>
      </c>
    </row>
    <row r="90" spans="1:33" x14ac:dyDescent="0.35">
      <c r="A90" s="60" t="s">
        <v>887</v>
      </c>
      <c r="B90" s="60">
        <f>COUNTIF(Clean_Data!$P$2:$P$200,"Not Recorded")</f>
        <v>10</v>
      </c>
      <c r="C90" s="63">
        <f t="shared" si="10"/>
        <v>0.11904761904761904</v>
      </c>
      <c r="D90" s="60"/>
      <c r="E90" s="60"/>
      <c r="F90" s="60"/>
      <c r="G90" s="60"/>
      <c r="H90" s="60"/>
      <c r="AA90" s="59" t="str">
        <f>IF(Clean_Data!A90="","",IFERROR(INDEX($D$7:$D$13,MATCH(Clean_Data!J90,$A$7:$A$13,0)),0))</f>
        <v/>
      </c>
      <c r="AB90" s="59" t="str">
        <f>IF(Clean_Data!A90="","",IF(AND(AA90=1,Clean_Data!V90="Yes"),1,0))</f>
        <v/>
      </c>
      <c r="AC90" s="59" t="str">
        <f>IF(Clean_Data!A90="","",IF(Clean_Data!W90="Yes",1,0))</f>
        <v/>
      </c>
      <c r="AD90" s="59" t="str">
        <f>IF(AB90=1,Settings!$B$2-Clean_Data!N90+ROW()/100000,"")</f>
        <v/>
      </c>
      <c r="AE90" s="59" t="str">
        <f>IF(AC90=1,Clean_Data!U90+ROW()/100000,"")</f>
        <v/>
      </c>
      <c r="AF90" s="59" t="str">
        <f>IF(Clean_Data!A90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90)))&gt;0,1,0))</f>
        <v/>
      </c>
      <c r="AG90" s="59" t="str">
        <f>IF(Clean_Data!A90="","",IF(SUMPRODUCT(--ISNUMBER(SEARCH({"DATE_ORDER","DATE_FUTURE","FOLLOWUP_BEFORE"},Clean_Data!S90)))&gt;0,1,0))</f>
        <v/>
      </c>
    </row>
    <row r="91" spans="1:33" x14ac:dyDescent="0.35">
      <c r="A91" s="60" t="s">
        <v>888</v>
      </c>
      <c r="B91" s="60">
        <f>COUNTIF(Clean_Data!$S$2:$S$200,"*INTERACTIONS_*")</f>
        <v>5</v>
      </c>
      <c r="C91" s="63">
        <f t="shared" si="10"/>
        <v>5.9523809523809521E-2</v>
      </c>
      <c r="D91" s="60"/>
      <c r="E91" s="60"/>
      <c r="F91" s="60"/>
      <c r="G91" s="60"/>
      <c r="H91" s="60"/>
      <c r="AA91" s="59" t="str">
        <f>IF(Clean_Data!A91="","",IFERROR(INDEX($D$7:$D$13,MATCH(Clean_Data!J91,$A$7:$A$13,0)),0))</f>
        <v/>
      </c>
      <c r="AB91" s="59" t="str">
        <f>IF(Clean_Data!A91="","",IF(AND(AA91=1,Clean_Data!V91="Yes"),1,0))</f>
        <v/>
      </c>
      <c r="AC91" s="59" t="str">
        <f>IF(Clean_Data!A91="","",IF(Clean_Data!W91="Yes",1,0))</f>
        <v/>
      </c>
      <c r="AD91" s="59" t="str">
        <f>IF(AB91=1,Settings!$B$2-Clean_Data!N91+ROW()/100000,"")</f>
        <v/>
      </c>
      <c r="AE91" s="59" t="str">
        <f>IF(AC91=1,Clean_Data!U91+ROW()/100000,"")</f>
        <v/>
      </c>
      <c r="AF91" s="59" t="str">
        <f>IF(Clean_Data!A91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91)))&gt;0,1,0))</f>
        <v/>
      </c>
      <c r="AG91" s="59" t="str">
        <f>IF(Clean_Data!A91="","",IF(SUMPRODUCT(--ISNUMBER(SEARCH({"DATE_ORDER","DATE_FUTURE","FOLLOWUP_BEFORE"},Clean_Data!S91)))&gt;0,1,0))</f>
        <v/>
      </c>
    </row>
    <row r="92" spans="1:33" x14ac:dyDescent="0.35">
      <c r="A92" s="60" t="s">
        <v>889</v>
      </c>
      <c r="B92" s="60">
        <f>COUNTIF(Clean_Data!$S$2:$S$200,"*NEAR_DUP_KEPT*")</f>
        <v>3</v>
      </c>
      <c r="C92" s="63">
        <f t="shared" si="10"/>
        <v>3.5714285714285712E-2</v>
      </c>
      <c r="D92" s="60"/>
      <c r="E92" s="60"/>
      <c r="F92" s="60"/>
      <c r="G92" s="60"/>
      <c r="H92" s="60"/>
      <c r="AA92" s="59" t="str">
        <f>IF(Clean_Data!A92="","",IFERROR(INDEX($D$7:$D$13,MATCH(Clean_Data!J92,$A$7:$A$13,0)),0))</f>
        <v/>
      </c>
      <c r="AB92" s="59" t="str">
        <f>IF(Clean_Data!A92="","",IF(AND(AA92=1,Clean_Data!V92="Yes"),1,0))</f>
        <v/>
      </c>
      <c r="AC92" s="59" t="str">
        <f>IF(Clean_Data!A92="","",IF(Clean_Data!W92="Yes",1,0))</f>
        <v/>
      </c>
      <c r="AD92" s="59" t="str">
        <f>IF(AB92=1,Settings!$B$2-Clean_Data!N92+ROW()/100000,"")</f>
        <v/>
      </c>
      <c r="AE92" s="59" t="str">
        <f>IF(AC92=1,Clean_Data!U92+ROW()/100000,"")</f>
        <v/>
      </c>
      <c r="AF92" s="59" t="str">
        <f>IF(Clean_Data!A92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92)))&gt;0,1,0))</f>
        <v/>
      </c>
      <c r="AG92" s="59" t="str">
        <f>IF(Clean_Data!A92="","",IF(SUMPRODUCT(--ISNUMBER(SEARCH({"DATE_ORDER","DATE_FUTURE","FOLLOWUP_BEFORE"},Clean_Data!S92)))&gt;0,1,0))</f>
        <v/>
      </c>
    </row>
    <row r="93" spans="1:33" x14ac:dyDescent="0.35">
      <c r="A93" s="60" t="s">
        <v>890</v>
      </c>
      <c r="B93" s="60">
        <f>SUM($AF$2:$AF$200)</f>
        <v>53</v>
      </c>
      <c r="C93" s="63">
        <f t="shared" si="10"/>
        <v>0.63095238095238093</v>
      </c>
      <c r="D93" s="60"/>
      <c r="E93" s="60"/>
      <c r="F93" s="60"/>
      <c r="G93" s="60"/>
      <c r="H93" s="60"/>
      <c r="AA93" s="59" t="str">
        <f>IF(Clean_Data!A93="","",IFERROR(INDEX($D$7:$D$13,MATCH(Clean_Data!J93,$A$7:$A$13,0)),0))</f>
        <v/>
      </c>
      <c r="AB93" s="59" t="str">
        <f>IF(Clean_Data!A93="","",IF(AND(AA93=1,Clean_Data!V93="Yes"),1,0))</f>
        <v/>
      </c>
      <c r="AC93" s="59" t="str">
        <f>IF(Clean_Data!A93="","",IF(Clean_Data!W93="Yes",1,0))</f>
        <v/>
      </c>
      <c r="AD93" s="59" t="str">
        <f>IF(AB93=1,Settings!$B$2-Clean_Data!N93+ROW()/100000,"")</f>
        <v/>
      </c>
      <c r="AE93" s="59" t="str">
        <f>IF(AC93=1,Clean_Data!U93+ROW()/100000,"")</f>
        <v/>
      </c>
      <c r="AF93" s="59" t="str">
        <f>IF(Clean_Data!A93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93)))&gt;0,1,0))</f>
        <v/>
      </c>
      <c r="AG93" s="59" t="str">
        <f>IF(Clean_Data!A93="","",IF(SUMPRODUCT(--ISNUMBER(SEARCH({"DATE_ORDER","DATE_FUTURE","FOLLOWUP_BEFORE"},Clean_Data!S93)))&gt;0,1,0))</f>
        <v/>
      </c>
    </row>
    <row r="94" spans="1:33" x14ac:dyDescent="0.35">
      <c r="A94" s="60"/>
      <c r="B94" s="60"/>
      <c r="C94" s="60"/>
      <c r="D94" s="60"/>
      <c r="E94" s="60"/>
      <c r="F94" s="60"/>
      <c r="G94" s="60"/>
      <c r="H94" s="60"/>
      <c r="AA94" s="59" t="str">
        <f>IF(Clean_Data!A94="","",IFERROR(INDEX($D$7:$D$13,MATCH(Clean_Data!J94,$A$7:$A$13,0)),0))</f>
        <v/>
      </c>
      <c r="AB94" s="59" t="str">
        <f>IF(Clean_Data!A94="","",IF(AND(AA94=1,Clean_Data!V94="Yes"),1,0))</f>
        <v/>
      </c>
      <c r="AC94" s="59" t="str">
        <f>IF(Clean_Data!A94="","",IF(Clean_Data!W94="Yes",1,0))</f>
        <v/>
      </c>
      <c r="AD94" s="59" t="str">
        <f>IF(AB94=1,Settings!$B$2-Clean_Data!N94+ROW()/100000,"")</f>
        <v/>
      </c>
      <c r="AE94" s="59" t="str">
        <f>IF(AC94=1,Clean_Data!U94+ROW()/100000,"")</f>
        <v/>
      </c>
      <c r="AF94" s="59" t="str">
        <f>IF(Clean_Data!A94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94)))&gt;0,1,0))</f>
        <v/>
      </c>
      <c r="AG94" s="59" t="str">
        <f>IF(Clean_Data!A94="","",IF(SUMPRODUCT(--ISNUMBER(SEARCH({"DATE_ORDER","DATE_FUTURE","FOLLOWUP_BEFORE"},Clean_Data!S94)))&gt;0,1,0))</f>
        <v/>
      </c>
    </row>
    <row r="95" spans="1:33" x14ac:dyDescent="0.35">
      <c r="A95" s="60" t="s">
        <v>891</v>
      </c>
      <c r="B95" s="60">
        <f>COUNTA(Removed_Rows!A2:A100)</f>
        <v>7</v>
      </c>
      <c r="C95" s="60"/>
      <c r="D95" s="60"/>
      <c r="E95" s="60"/>
      <c r="F95" s="60"/>
      <c r="G95" s="60"/>
      <c r="H95" s="60"/>
      <c r="AA95" s="59" t="str">
        <f>IF(Clean_Data!A95="","",IFERROR(INDEX($D$7:$D$13,MATCH(Clean_Data!J95,$A$7:$A$13,0)),0))</f>
        <v/>
      </c>
      <c r="AB95" s="59" t="str">
        <f>IF(Clean_Data!A95="","",IF(AND(AA95=1,Clean_Data!V95="Yes"),1,0))</f>
        <v/>
      </c>
      <c r="AC95" s="59" t="str">
        <f>IF(Clean_Data!A95="","",IF(Clean_Data!W95="Yes",1,0))</f>
        <v/>
      </c>
      <c r="AD95" s="59" t="str">
        <f>IF(AB95=1,Settings!$B$2-Clean_Data!N95+ROW()/100000,"")</f>
        <v/>
      </c>
      <c r="AE95" s="59" t="str">
        <f>IF(AC95=1,Clean_Data!U95+ROW()/100000,"")</f>
        <v/>
      </c>
      <c r="AF95" s="59" t="str">
        <f>IF(Clean_Data!A95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95)))&gt;0,1,0))</f>
        <v/>
      </c>
      <c r="AG95" s="59" t="str">
        <f>IF(Clean_Data!A95="","",IF(SUMPRODUCT(--ISNUMBER(SEARCH({"DATE_ORDER","DATE_FUTURE","FOLLOWUP_BEFORE"},Clean_Data!S95)))&gt;0,1,0))</f>
        <v/>
      </c>
    </row>
    <row r="96" spans="1:33" x14ac:dyDescent="0.35">
      <c r="A96" s="67" t="s">
        <v>892</v>
      </c>
      <c r="B96" s="60"/>
      <c r="C96" s="60"/>
      <c r="D96" s="60"/>
      <c r="E96" s="60"/>
      <c r="F96" s="60"/>
      <c r="G96" s="60"/>
      <c r="H96" s="60"/>
      <c r="AA96" s="59" t="str">
        <f>IF(Clean_Data!A96="","",IFERROR(INDEX($D$7:$D$13,MATCH(Clean_Data!J96,$A$7:$A$13,0)),0))</f>
        <v/>
      </c>
      <c r="AB96" s="59" t="str">
        <f>IF(Clean_Data!A96="","",IF(AND(AA96=1,Clean_Data!V96="Yes"),1,0))</f>
        <v/>
      </c>
      <c r="AC96" s="59" t="str">
        <f>IF(Clean_Data!A96="","",IF(Clean_Data!W96="Yes",1,0))</f>
        <v/>
      </c>
      <c r="AD96" s="59" t="str">
        <f>IF(AB96=1,Settings!$B$2-Clean_Data!N96+ROW()/100000,"")</f>
        <v/>
      </c>
      <c r="AE96" s="59" t="str">
        <f>IF(AC96=1,Clean_Data!U96+ROW()/100000,"")</f>
        <v/>
      </c>
      <c r="AF96" s="59" t="str">
        <f>IF(Clean_Data!A96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96)))&gt;0,1,0))</f>
        <v/>
      </c>
      <c r="AG96" s="59" t="str">
        <f>IF(Clean_Data!A96="","",IF(SUMPRODUCT(--ISNUMBER(SEARCH({"DATE_ORDER","DATE_FUTURE","FOLLOWUP_BEFORE"},Clean_Data!S96)))&gt;0,1,0))</f>
        <v/>
      </c>
    </row>
    <row r="97" spans="1:33" x14ac:dyDescent="0.35">
      <c r="A97" s="60"/>
      <c r="B97" s="60"/>
      <c r="C97" s="60"/>
      <c r="D97" s="60"/>
      <c r="E97" s="60"/>
      <c r="F97" s="60"/>
      <c r="G97" s="60"/>
      <c r="H97" s="60"/>
      <c r="AA97" s="59" t="str">
        <f>IF(Clean_Data!A97="","",IFERROR(INDEX($D$7:$D$13,MATCH(Clean_Data!J97,$A$7:$A$13,0)),0))</f>
        <v/>
      </c>
      <c r="AB97" s="59" t="str">
        <f>IF(Clean_Data!A97="","",IF(AND(AA97=1,Clean_Data!V97="Yes"),1,0))</f>
        <v/>
      </c>
      <c r="AC97" s="59" t="str">
        <f>IF(Clean_Data!A97="","",IF(Clean_Data!W97="Yes",1,0))</f>
        <v/>
      </c>
      <c r="AD97" s="59" t="str">
        <f>IF(AB97=1,Settings!$B$2-Clean_Data!N97+ROW()/100000,"")</f>
        <v/>
      </c>
      <c r="AE97" s="59" t="str">
        <f>IF(AC97=1,Clean_Data!U97+ROW()/100000,"")</f>
        <v/>
      </c>
      <c r="AF97" s="59" t="str">
        <f>IF(Clean_Data!A97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97)))&gt;0,1,0))</f>
        <v/>
      </c>
      <c r="AG97" s="59" t="str">
        <f>IF(Clean_Data!A97="","",IF(SUMPRODUCT(--ISNUMBER(SEARCH({"DATE_ORDER","DATE_FUTURE","FOLLOWUP_BEFORE"},Clean_Data!S97)))&gt;0,1,0))</f>
        <v/>
      </c>
    </row>
    <row r="98" spans="1:33" x14ac:dyDescent="0.35">
      <c r="A98" s="61" t="s">
        <v>893</v>
      </c>
      <c r="B98" s="60"/>
      <c r="C98" s="60"/>
      <c r="D98" s="60"/>
      <c r="E98" s="60"/>
      <c r="F98" s="60"/>
      <c r="G98" s="60"/>
      <c r="H98" s="60"/>
      <c r="AA98" s="59" t="str">
        <f>IF(Clean_Data!A98="","",IFERROR(INDEX($D$7:$D$13,MATCH(Clean_Data!J98,$A$7:$A$13,0)),0))</f>
        <v/>
      </c>
      <c r="AB98" s="59" t="str">
        <f>IF(Clean_Data!A98="","",IF(AND(AA98=1,Clean_Data!V98="Yes"),1,0))</f>
        <v/>
      </c>
      <c r="AC98" s="59" t="str">
        <f>IF(Clean_Data!A98="","",IF(Clean_Data!W98="Yes",1,0))</f>
        <v/>
      </c>
      <c r="AD98" s="59" t="str">
        <f>IF(AB98=1,Settings!$B$2-Clean_Data!N98+ROW()/100000,"")</f>
        <v/>
      </c>
      <c r="AE98" s="59" t="str">
        <f>IF(AC98=1,Clean_Data!U98+ROW()/100000,"")</f>
        <v/>
      </c>
      <c r="AF98" s="59" t="str">
        <f>IF(Clean_Data!A98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98)))&gt;0,1,0))</f>
        <v/>
      </c>
      <c r="AG98" s="59" t="str">
        <f>IF(Clean_Data!A98="","",IF(SUMPRODUCT(--ISNUMBER(SEARCH({"DATE_ORDER","DATE_FUTURE","FOLLOWUP_BEFORE"},Clean_Data!S98)))&gt;0,1,0))</f>
        <v/>
      </c>
    </row>
    <row r="99" spans="1:33" x14ac:dyDescent="0.35">
      <c r="A99" s="60" t="s">
        <v>894</v>
      </c>
      <c r="B99" s="60">
        <f>B14</f>
        <v>84</v>
      </c>
      <c r="C99" s="60"/>
      <c r="D99" s="60"/>
      <c r="E99" s="60"/>
      <c r="F99" s="60"/>
      <c r="G99" s="60"/>
      <c r="H99" s="60"/>
      <c r="AA99" s="59" t="str">
        <f>IF(Clean_Data!A99="","",IFERROR(INDEX($D$7:$D$13,MATCH(Clean_Data!J99,$A$7:$A$13,0)),0))</f>
        <v/>
      </c>
      <c r="AB99" s="59" t="str">
        <f>IF(Clean_Data!A99="","",IF(AND(AA99=1,Clean_Data!V99="Yes"),1,0))</f>
        <v/>
      </c>
      <c r="AC99" s="59" t="str">
        <f>IF(Clean_Data!A99="","",IF(Clean_Data!W99="Yes",1,0))</f>
        <v/>
      </c>
      <c r="AD99" s="59" t="str">
        <f>IF(AB99=1,Settings!$B$2-Clean_Data!N99+ROW()/100000,"")</f>
        <v/>
      </c>
      <c r="AE99" s="59" t="str">
        <f>IF(AC99=1,Clean_Data!U99+ROW()/100000,"")</f>
        <v/>
      </c>
      <c r="AF99" s="59" t="str">
        <f>IF(Clean_Data!A99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99)))&gt;0,1,0))</f>
        <v/>
      </c>
      <c r="AG99" s="59" t="str">
        <f>IF(Clean_Data!A99="","",IF(SUMPRODUCT(--ISNUMBER(SEARCH({"DATE_ORDER","DATE_FUTURE","FOLLOWUP_BEFORE"},Clean_Data!S99)))&gt;0,1,0))</f>
        <v/>
      </c>
    </row>
    <row r="100" spans="1:33" x14ac:dyDescent="0.35">
      <c r="A100" s="60" t="s">
        <v>895</v>
      </c>
      <c r="B100" s="60">
        <f>SUM($AA$2:$AA$200)</f>
        <v>59</v>
      </c>
      <c r="C100" s="60"/>
      <c r="D100" s="60"/>
      <c r="E100" s="60"/>
      <c r="F100" s="60"/>
      <c r="G100" s="60"/>
      <c r="H100" s="60"/>
      <c r="AA100" s="59" t="str">
        <f>IF(Clean_Data!A100="","",IFERROR(INDEX($D$7:$D$13,MATCH(Clean_Data!J100,$A$7:$A$13,0)),0))</f>
        <v/>
      </c>
      <c r="AB100" s="59" t="str">
        <f>IF(Clean_Data!A100="","",IF(AND(AA100=1,Clean_Data!V100="Yes"),1,0))</f>
        <v/>
      </c>
      <c r="AC100" s="59" t="str">
        <f>IF(Clean_Data!A100="","",IF(Clean_Data!W100="Yes",1,0))</f>
        <v/>
      </c>
      <c r="AD100" s="59" t="str">
        <f>IF(AB100=1,Settings!$B$2-Clean_Data!N100+ROW()/100000,"")</f>
        <v/>
      </c>
      <c r="AE100" s="59" t="str">
        <f>IF(AC100=1,Clean_Data!U100+ROW()/100000,"")</f>
        <v/>
      </c>
      <c r="AF100" s="59" t="str">
        <f>IF(Clean_Data!A100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100)))&gt;0,1,0))</f>
        <v/>
      </c>
      <c r="AG100" s="59" t="str">
        <f>IF(Clean_Data!A100="","",IF(SUMPRODUCT(--ISNUMBER(SEARCH({"DATE_ORDER","DATE_FUTURE","FOLLOWUP_BEFORE"},Clean_Data!S100)))&gt;0,1,0))</f>
        <v/>
      </c>
    </row>
    <row r="101" spans="1:33" x14ac:dyDescent="0.35">
      <c r="A101" s="60" t="s">
        <v>15</v>
      </c>
      <c r="B101" s="60">
        <f>B11</f>
        <v>19</v>
      </c>
      <c r="C101" s="60"/>
      <c r="D101" s="60"/>
      <c r="E101" s="60"/>
      <c r="F101" s="60"/>
      <c r="G101" s="60"/>
      <c r="H101" s="60"/>
      <c r="AA101" s="59" t="str">
        <f>IF(Clean_Data!A101="","",IFERROR(INDEX($D$7:$D$13,MATCH(Clean_Data!J101,$A$7:$A$13,0)),0))</f>
        <v/>
      </c>
      <c r="AB101" s="59" t="str">
        <f>IF(Clean_Data!A101="","",IF(AND(AA101=1,Clean_Data!V101="Yes"),1,0))</f>
        <v/>
      </c>
      <c r="AC101" s="59" t="str">
        <f>IF(Clean_Data!A101="","",IF(Clean_Data!W101="Yes",1,0))</f>
        <v/>
      </c>
      <c r="AD101" s="59" t="str">
        <f>IF(AB101=1,Settings!$B$2-Clean_Data!N101+ROW()/100000,"")</f>
        <v/>
      </c>
      <c r="AE101" s="59" t="str">
        <f>IF(AC101=1,Clean_Data!U101+ROW()/100000,"")</f>
        <v/>
      </c>
      <c r="AF101" s="59" t="str">
        <f>IF(Clean_Data!A101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101)))&gt;0,1,0))</f>
        <v/>
      </c>
      <c r="AG101" s="59" t="str">
        <f>IF(Clean_Data!A101="","",IF(SUMPRODUCT(--ISNUMBER(SEARCH({"DATE_ORDER","DATE_FUTURE","FOLLOWUP_BEFORE"},Clean_Data!S101)))&gt;0,1,0))</f>
        <v/>
      </c>
    </row>
    <row r="102" spans="1:33" x14ac:dyDescent="0.35">
      <c r="A102" s="60" t="s">
        <v>896</v>
      </c>
      <c r="B102" s="60">
        <f>B7</f>
        <v>10</v>
      </c>
      <c r="C102" s="60"/>
      <c r="D102" s="60"/>
      <c r="E102" s="60"/>
      <c r="F102" s="60"/>
      <c r="G102" s="60"/>
      <c r="H102" s="60"/>
      <c r="AA102" s="59" t="str">
        <f>IF(Clean_Data!A102="","",IFERROR(INDEX($D$7:$D$13,MATCH(Clean_Data!J102,$A$7:$A$13,0)),0))</f>
        <v/>
      </c>
      <c r="AB102" s="59" t="str">
        <f>IF(Clean_Data!A102="","",IF(AND(AA102=1,Clean_Data!V102="Yes"),1,0))</f>
        <v/>
      </c>
      <c r="AC102" s="59" t="str">
        <f>IF(Clean_Data!A102="","",IF(Clean_Data!W102="Yes",1,0))</f>
        <v/>
      </c>
      <c r="AD102" s="59" t="str">
        <f>IF(AB102=1,Settings!$B$2-Clean_Data!N102+ROW()/100000,"")</f>
        <v/>
      </c>
      <c r="AE102" s="59" t="str">
        <f>IF(AC102=1,Clean_Data!U102+ROW()/100000,"")</f>
        <v/>
      </c>
      <c r="AF102" s="59" t="str">
        <f>IF(Clean_Data!A102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102)))&gt;0,1,0))</f>
        <v/>
      </c>
      <c r="AG102" s="59" t="str">
        <f>IF(Clean_Data!A102="","",IF(SUMPRODUCT(--ISNUMBER(SEARCH({"DATE_ORDER","DATE_FUTURE","FOLLOWUP_BEFORE"},Clean_Data!S102)))&gt;0,1,0))</f>
        <v/>
      </c>
    </row>
    <row r="103" spans="1:33" x14ac:dyDescent="0.35">
      <c r="A103" s="60" t="s">
        <v>897</v>
      </c>
      <c r="B103" s="60">
        <f>SUM($AB$2:$AB$200)</f>
        <v>30</v>
      </c>
      <c r="C103" s="60"/>
      <c r="D103" s="60"/>
      <c r="E103" s="60"/>
      <c r="F103" s="60"/>
      <c r="G103" s="60"/>
      <c r="H103" s="60"/>
      <c r="AA103" s="59" t="str">
        <f>IF(Clean_Data!A103="","",IFERROR(INDEX($D$7:$D$13,MATCH(Clean_Data!J103,$A$7:$A$13,0)),0))</f>
        <v/>
      </c>
      <c r="AB103" s="59" t="str">
        <f>IF(Clean_Data!A103="","",IF(AND(AA103=1,Clean_Data!V103="Yes"),1,0))</f>
        <v/>
      </c>
      <c r="AC103" s="59" t="str">
        <f>IF(Clean_Data!A103="","",IF(Clean_Data!W103="Yes",1,0))</f>
        <v/>
      </c>
      <c r="AD103" s="59" t="str">
        <f>IF(AB103=1,Settings!$B$2-Clean_Data!N103+ROW()/100000,"")</f>
        <v/>
      </c>
      <c r="AE103" s="59" t="str">
        <f>IF(AC103=1,Clean_Data!U103+ROW()/100000,"")</f>
        <v/>
      </c>
      <c r="AF103" s="59" t="str">
        <f>IF(Clean_Data!A103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103)))&gt;0,1,0))</f>
        <v/>
      </c>
      <c r="AG103" s="59" t="str">
        <f>IF(Clean_Data!A103="","",IF(SUMPRODUCT(--ISNUMBER(SEARCH({"DATE_ORDER","DATE_FUTURE","FOLLOWUP_BEFORE"},Clean_Data!S103)))&gt;0,1,0))</f>
        <v/>
      </c>
    </row>
    <row r="104" spans="1:33" x14ac:dyDescent="0.35">
      <c r="A104" s="60" t="s">
        <v>898</v>
      </c>
      <c r="B104" s="60">
        <f>SUM($AC$2:$AC$200)</f>
        <v>13</v>
      </c>
      <c r="C104" s="60"/>
      <c r="D104" s="60"/>
      <c r="E104" s="60"/>
      <c r="F104" s="60"/>
      <c r="G104" s="60"/>
      <c r="H104" s="60"/>
      <c r="AA104" s="59" t="str">
        <f>IF(Clean_Data!A104="","",IFERROR(INDEX($D$7:$D$13,MATCH(Clean_Data!J104,$A$7:$A$13,0)),0))</f>
        <v/>
      </c>
      <c r="AB104" s="59" t="str">
        <f>IF(Clean_Data!A104="","",IF(AND(AA104=1,Clean_Data!V104="Yes"),1,0))</f>
        <v/>
      </c>
      <c r="AC104" s="59" t="str">
        <f>IF(Clean_Data!A104="","",IF(Clean_Data!W104="Yes",1,0))</f>
        <v/>
      </c>
      <c r="AD104" s="59" t="str">
        <f>IF(AB104=1,Settings!$B$2-Clean_Data!N104+ROW()/100000,"")</f>
        <v/>
      </c>
      <c r="AE104" s="59" t="str">
        <f>IF(AC104=1,Clean_Data!U104+ROW()/100000,"")</f>
        <v/>
      </c>
      <c r="AF104" s="59" t="str">
        <f>IF(Clean_Data!A104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104)))&gt;0,1,0))</f>
        <v/>
      </c>
      <c r="AG104" s="59" t="str">
        <f>IF(Clean_Data!A104="","",IF(SUMPRODUCT(--ISNUMBER(SEARCH({"DATE_ORDER","DATE_FUTURE","FOLLOWUP_BEFORE"},Clean_Data!S104)))&gt;0,1,0))</f>
        <v/>
      </c>
    </row>
    <row r="105" spans="1:33" x14ac:dyDescent="0.35">
      <c r="A105" s="60" t="s">
        <v>899</v>
      </c>
      <c r="B105" s="60">
        <f>COUNTIF(Clean_Data!$P$2:$P$200,"High")</f>
        <v>17</v>
      </c>
      <c r="C105" s="60"/>
      <c r="D105" s="60"/>
      <c r="E105" s="60"/>
      <c r="F105" s="60"/>
      <c r="G105" s="60"/>
      <c r="H105" s="60"/>
      <c r="AA105" s="59" t="str">
        <f>IF(Clean_Data!A105="","",IFERROR(INDEX($D$7:$D$13,MATCH(Clean_Data!J105,$A$7:$A$13,0)),0))</f>
        <v/>
      </c>
      <c r="AB105" s="59" t="str">
        <f>IF(Clean_Data!A105="","",IF(AND(AA105=1,Clean_Data!V105="Yes"),1,0))</f>
        <v/>
      </c>
      <c r="AC105" s="59" t="str">
        <f>IF(Clean_Data!A105="","",IF(Clean_Data!W105="Yes",1,0))</f>
        <v/>
      </c>
      <c r="AD105" s="59" t="str">
        <f>IF(AB105=1,Settings!$B$2-Clean_Data!N105+ROW()/100000,"")</f>
        <v/>
      </c>
      <c r="AE105" s="59" t="str">
        <f>IF(AC105=1,Clean_Data!U105+ROW()/100000,"")</f>
        <v/>
      </c>
      <c r="AF105" s="59" t="str">
        <f>IF(Clean_Data!A105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105)))&gt;0,1,0))</f>
        <v/>
      </c>
      <c r="AG105" s="59" t="str">
        <f>IF(Clean_Data!A105="","",IF(SUMPRODUCT(--ISNUMBER(SEARCH({"DATE_ORDER","DATE_FUTURE","FOLLOWUP_BEFORE"},Clean_Data!S105)))&gt;0,1,0))</f>
        <v/>
      </c>
    </row>
    <row r="106" spans="1:33" x14ac:dyDescent="0.35">
      <c r="A106" s="60" t="s">
        <v>900</v>
      </c>
      <c r="B106" s="60">
        <f>B93</f>
        <v>53</v>
      </c>
      <c r="C106" s="60"/>
      <c r="D106" s="60"/>
      <c r="E106" s="60"/>
      <c r="F106" s="60"/>
      <c r="G106" s="60"/>
      <c r="H106" s="60"/>
      <c r="AA106" s="59" t="str">
        <f>IF(Clean_Data!A106="","",IFERROR(INDEX($D$7:$D$13,MATCH(Clean_Data!J106,$A$7:$A$13,0)),0))</f>
        <v/>
      </c>
      <c r="AB106" s="59" t="str">
        <f>IF(Clean_Data!A106="","",IF(AND(AA106=1,Clean_Data!V106="Yes"),1,0))</f>
        <v/>
      </c>
      <c r="AC106" s="59" t="str">
        <f>IF(Clean_Data!A106="","",IF(Clean_Data!W106="Yes",1,0))</f>
        <v/>
      </c>
      <c r="AD106" s="59" t="str">
        <f>IF(AB106=1,Settings!$B$2-Clean_Data!N106+ROW()/100000,"")</f>
        <v/>
      </c>
      <c r="AE106" s="59" t="str">
        <f>IF(AC106=1,Clean_Data!U106+ROW()/100000,"")</f>
        <v/>
      </c>
      <c r="AF106" s="59" t="str">
        <f>IF(Clean_Data!A106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106)))&gt;0,1,0))</f>
        <v/>
      </c>
      <c r="AG106" s="59" t="str">
        <f>IF(Clean_Data!A106="","",IF(SUMPRODUCT(--ISNUMBER(SEARCH({"DATE_ORDER","DATE_FUTURE","FOLLOWUP_BEFORE"},Clean_Data!S106)))&gt;0,1,0))</f>
        <v/>
      </c>
    </row>
    <row r="107" spans="1:33" x14ac:dyDescent="0.35">
      <c r="A107" s="60" t="s">
        <v>901</v>
      </c>
      <c r="B107" s="60">
        <f>COUNTA(A19:A24)</f>
        <v>6</v>
      </c>
      <c r="C107" s="60"/>
      <c r="D107" s="60"/>
      <c r="E107" s="60"/>
      <c r="F107" s="60"/>
      <c r="G107" s="60"/>
      <c r="H107" s="60"/>
      <c r="AA107" s="59" t="str">
        <f>IF(Clean_Data!A107="","",IFERROR(INDEX($D$7:$D$13,MATCH(Clean_Data!J107,$A$7:$A$13,0)),0))</f>
        <v/>
      </c>
      <c r="AB107" s="59" t="str">
        <f>IF(Clean_Data!A107="","",IF(AND(AA107=1,Clean_Data!V107="Yes"),1,0))</f>
        <v/>
      </c>
      <c r="AC107" s="59" t="str">
        <f>IF(Clean_Data!A107="","",IF(Clean_Data!W107="Yes",1,0))</f>
        <v/>
      </c>
      <c r="AD107" s="59" t="str">
        <f>IF(AB107=1,Settings!$B$2-Clean_Data!N107+ROW()/100000,"")</f>
        <v/>
      </c>
      <c r="AE107" s="59" t="str">
        <f>IF(AC107=1,Clean_Data!U107+ROW()/100000,"")</f>
        <v/>
      </c>
      <c r="AF107" s="59" t="str">
        <f>IF(Clean_Data!A107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107)))&gt;0,1,0))</f>
        <v/>
      </c>
      <c r="AG107" s="59" t="str">
        <f>IF(Clean_Data!A107="","",IF(SUMPRODUCT(--ISNUMBER(SEARCH({"DATE_ORDER","DATE_FUTURE","FOLLOWUP_BEFORE"},Clean_Data!S107)))&gt;0,1,0))</f>
        <v/>
      </c>
    </row>
    <row r="108" spans="1:33" x14ac:dyDescent="0.35">
      <c r="A108" s="60"/>
      <c r="B108" s="60"/>
      <c r="C108" s="60"/>
      <c r="D108" s="60"/>
      <c r="E108" s="60"/>
      <c r="F108" s="60"/>
      <c r="G108" s="60"/>
      <c r="H108" s="60"/>
      <c r="AA108" s="59" t="str">
        <f>IF(Clean_Data!A108="","",IFERROR(INDEX($D$7:$D$13,MATCH(Clean_Data!J108,$A$7:$A$13,0)),0))</f>
        <v/>
      </c>
      <c r="AB108" s="59" t="str">
        <f>IF(Clean_Data!A108="","",IF(AND(AA108=1,Clean_Data!V108="Yes"),1,0))</f>
        <v/>
      </c>
      <c r="AC108" s="59" t="str">
        <f>IF(Clean_Data!A108="","",IF(Clean_Data!W108="Yes",1,0))</f>
        <v/>
      </c>
      <c r="AD108" s="59" t="str">
        <f>IF(AB108=1,Settings!$B$2-Clean_Data!N108+ROW()/100000,"")</f>
        <v/>
      </c>
      <c r="AE108" s="59" t="str">
        <f>IF(AC108=1,Clean_Data!U108+ROW()/100000,"")</f>
        <v/>
      </c>
      <c r="AF108" s="59" t="str">
        <f>IF(Clean_Data!A108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108)))&gt;0,1,0))</f>
        <v/>
      </c>
      <c r="AG108" s="59" t="str">
        <f>IF(Clean_Data!A108="","",IF(SUMPRODUCT(--ISNUMBER(SEARCH({"DATE_ORDER","DATE_FUTURE","FOLLOWUP_BEFORE"},Clean_Data!S108)))&gt;0,1,0))</f>
        <v/>
      </c>
    </row>
    <row r="109" spans="1:33" x14ac:dyDescent="0.35">
      <c r="A109" s="60"/>
      <c r="B109" s="60"/>
      <c r="C109" s="60"/>
      <c r="D109" s="60"/>
      <c r="E109" s="60"/>
      <c r="F109" s="60"/>
      <c r="G109" s="60"/>
      <c r="H109" s="60"/>
      <c r="AA109" s="59" t="str">
        <f>IF(Clean_Data!A109="","",IFERROR(INDEX($D$7:$D$13,MATCH(Clean_Data!J109,$A$7:$A$13,0)),0))</f>
        <v/>
      </c>
      <c r="AB109" s="59" t="str">
        <f>IF(Clean_Data!A109="","",IF(AND(AA109=1,Clean_Data!V109="Yes"),1,0))</f>
        <v/>
      </c>
      <c r="AC109" s="59" t="str">
        <f>IF(Clean_Data!A109="","",IF(Clean_Data!W109="Yes",1,0))</f>
        <v/>
      </c>
      <c r="AD109" s="59" t="str">
        <f>IF(AB109=1,Settings!$B$2-Clean_Data!N109+ROW()/100000,"")</f>
        <v/>
      </c>
      <c r="AE109" s="59" t="str">
        <f>IF(AC109=1,Clean_Data!U109+ROW()/100000,"")</f>
        <v/>
      </c>
      <c r="AF109" s="59" t="str">
        <f>IF(Clean_Data!A109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109)))&gt;0,1,0))</f>
        <v/>
      </c>
      <c r="AG109" s="59" t="str">
        <f>IF(Clean_Data!A109="","",IF(SUMPRODUCT(--ISNUMBER(SEARCH({"DATE_ORDER","DATE_FUTURE","FOLLOWUP_BEFORE"},Clean_Data!S109)))&gt;0,1,0))</f>
        <v/>
      </c>
    </row>
    <row r="110" spans="1:33" x14ac:dyDescent="0.35">
      <c r="A110" s="60"/>
      <c r="B110" s="60"/>
      <c r="C110" s="60"/>
      <c r="D110" s="60"/>
      <c r="E110" s="60"/>
      <c r="F110" s="60"/>
      <c r="G110" s="60"/>
      <c r="H110" s="60"/>
      <c r="AA110" s="59" t="str">
        <f>IF(Clean_Data!A110="","",IFERROR(INDEX($D$7:$D$13,MATCH(Clean_Data!J110,$A$7:$A$13,0)),0))</f>
        <v/>
      </c>
      <c r="AB110" s="59" t="str">
        <f>IF(Clean_Data!A110="","",IF(AND(AA110=1,Clean_Data!V110="Yes"),1,0))</f>
        <v/>
      </c>
      <c r="AC110" s="59" t="str">
        <f>IF(Clean_Data!A110="","",IF(Clean_Data!W110="Yes",1,0))</f>
        <v/>
      </c>
      <c r="AD110" s="59" t="str">
        <f>IF(AB110=1,Settings!$B$2-Clean_Data!N110+ROW()/100000,"")</f>
        <v/>
      </c>
      <c r="AE110" s="59" t="str">
        <f>IF(AC110=1,Clean_Data!U110+ROW()/100000,"")</f>
        <v/>
      </c>
      <c r="AF110" s="59" t="str">
        <f>IF(Clean_Data!A110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110)))&gt;0,1,0))</f>
        <v/>
      </c>
      <c r="AG110" s="59" t="str">
        <f>IF(Clean_Data!A110="","",IF(SUMPRODUCT(--ISNUMBER(SEARCH({"DATE_ORDER","DATE_FUTURE","FOLLOWUP_BEFORE"},Clean_Data!S110)))&gt;0,1,0))</f>
        <v/>
      </c>
    </row>
    <row r="111" spans="1:33" x14ac:dyDescent="0.35">
      <c r="AA111" s="59" t="str">
        <f>IF(Clean_Data!A111="","",IFERROR(INDEX($D$7:$D$13,MATCH(Clean_Data!J111,$A$7:$A$13,0)),0))</f>
        <v/>
      </c>
      <c r="AB111" s="59" t="str">
        <f>IF(Clean_Data!A111="","",IF(AND(AA111=1,Clean_Data!V111="Yes"),1,0))</f>
        <v/>
      </c>
      <c r="AC111" s="59" t="str">
        <f>IF(Clean_Data!A111="","",IF(Clean_Data!W111="Yes",1,0))</f>
        <v/>
      </c>
      <c r="AD111" s="59" t="str">
        <f>IF(AB111=1,Settings!$B$2-Clean_Data!N111+ROW()/100000,"")</f>
        <v/>
      </c>
      <c r="AE111" s="59" t="str">
        <f>IF(AC111=1,Clean_Data!U111+ROW()/100000,"")</f>
        <v/>
      </c>
      <c r="AF111" s="59" t="str">
        <f>IF(Clean_Data!A111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111)))&gt;0,1,0))</f>
        <v/>
      </c>
      <c r="AG111" s="59" t="str">
        <f>IF(Clean_Data!A111="","",IF(SUMPRODUCT(--ISNUMBER(SEARCH({"DATE_ORDER","DATE_FUTURE","FOLLOWUP_BEFORE"},Clean_Data!S111)))&gt;0,1,0))</f>
        <v/>
      </c>
    </row>
    <row r="112" spans="1:33" x14ac:dyDescent="0.35">
      <c r="AA112" s="59" t="str">
        <f>IF(Clean_Data!A112="","",IFERROR(INDEX($D$7:$D$13,MATCH(Clean_Data!J112,$A$7:$A$13,0)),0))</f>
        <v/>
      </c>
      <c r="AB112" s="59" t="str">
        <f>IF(Clean_Data!A112="","",IF(AND(AA112=1,Clean_Data!V112="Yes"),1,0))</f>
        <v/>
      </c>
      <c r="AC112" s="59" t="str">
        <f>IF(Clean_Data!A112="","",IF(Clean_Data!W112="Yes",1,0))</f>
        <v/>
      </c>
      <c r="AD112" s="59" t="str">
        <f>IF(AB112=1,Settings!$B$2-Clean_Data!N112+ROW()/100000,"")</f>
        <v/>
      </c>
      <c r="AE112" s="59" t="str">
        <f>IF(AC112=1,Clean_Data!U112+ROW()/100000,"")</f>
        <v/>
      </c>
      <c r="AF112" s="59" t="str">
        <f>IF(Clean_Data!A112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112)))&gt;0,1,0))</f>
        <v/>
      </c>
      <c r="AG112" s="59" t="str">
        <f>IF(Clean_Data!A112="","",IF(SUMPRODUCT(--ISNUMBER(SEARCH({"DATE_ORDER","DATE_FUTURE","FOLLOWUP_BEFORE"},Clean_Data!S112)))&gt;0,1,0))</f>
        <v/>
      </c>
    </row>
    <row r="113" spans="27:33" x14ac:dyDescent="0.35">
      <c r="AA113" s="59" t="str">
        <f>IF(Clean_Data!A113="","",IFERROR(INDEX($D$7:$D$13,MATCH(Clean_Data!J113,$A$7:$A$13,0)),0))</f>
        <v/>
      </c>
      <c r="AB113" s="59" t="str">
        <f>IF(Clean_Data!A113="","",IF(AND(AA113=1,Clean_Data!V113="Yes"),1,0))</f>
        <v/>
      </c>
      <c r="AC113" s="59" t="str">
        <f>IF(Clean_Data!A113="","",IF(Clean_Data!W113="Yes",1,0))</f>
        <v/>
      </c>
      <c r="AD113" s="59" t="str">
        <f>IF(AB113=1,Settings!$B$2-Clean_Data!N113+ROW()/100000,"")</f>
        <v/>
      </c>
      <c r="AE113" s="59" t="str">
        <f>IF(AC113=1,Clean_Data!U113+ROW()/100000,"")</f>
        <v/>
      </c>
      <c r="AF113" s="59" t="str">
        <f>IF(Clean_Data!A113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113)))&gt;0,1,0))</f>
        <v/>
      </c>
      <c r="AG113" s="59" t="str">
        <f>IF(Clean_Data!A113="","",IF(SUMPRODUCT(--ISNUMBER(SEARCH({"DATE_ORDER","DATE_FUTURE","FOLLOWUP_BEFORE"},Clean_Data!S113)))&gt;0,1,0))</f>
        <v/>
      </c>
    </row>
    <row r="114" spans="27:33" x14ac:dyDescent="0.35">
      <c r="AA114" s="59" t="str">
        <f>IF(Clean_Data!A114="","",IFERROR(INDEX($D$7:$D$13,MATCH(Clean_Data!J114,$A$7:$A$13,0)),0))</f>
        <v/>
      </c>
      <c r="AB114" s="59" t="str">
        <f>IF(Clean_Data!A114="","",IF(AND(AA114=1,Clean_Data!V114="Yes"),1,0))</f>
        <v/>
      </c>
      <c r="AC114" s="59" t="str">
        <f>IF(Clean_Data!A114="","",IF(Clean_Data!W114="Yes",1,0))</f>
        <v/>
      </c>
      <c r="AD114" s="59" t="str">
        <f>IF(AB114=1,Settings!$B$2-Clean_Data!N114+ROW()/100000,"")</f>
        <v/>
      </c>
      <c r="AE114" s="59" t="str">
        <f>IF(AC114=1,Clean_Data!U114+ROW()/100000,"")</f>
        <v/>
      </c>
      <c r="AF114" s="59" t="str">
        <f>IF(Clean_Data!A114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114)))&gt;0,1,0))</f>
        <v/>
      </c>
      <c r="AG114" s="59" t="str">
        <f>IF(Clean_Data!A114="","",IF(SUMPRODUCT(--ISNUMBER(SEARCH({"DATE_ORDER","DATE_FUTURE","FOLLOWUP_BEFORE"},Clean_Data!S114)))&gt;0,1,0))</f>
        <v/>
      </c>
    </row>
    <row r="115" spans="27:33" x14ac:dyDescent="0.35">
      <c r="AA115" s="59" t="str">
        <f>IF(Clean_Data!A115="","",IFERROR(INDEX($D$7:$D$13,MATCH(Clean_Data!J115,$A$7:$A$13,0)),0))</f>
        <v/>
      </c>
      <c r="AB115" s="59" t="str">
        <f>IF(Clean_Data!A115="","",IF(AND(AA115=1,Clean_Data!V115="Yes"),1,0))</f>
        <v/>
      </c>
      <c r="AC115" s="59" t="str">
        <f>IF(Clean_Data!A115="","",IF(Clean_Data!W115="Yes",1,0))</f>
        <v/>
      </c>
      <c r="AD115" s="59" t="str">
        <f>IF(AB115=1,Settings!$B$2-Clean_Data!N115+ROW()/100000,"")</f>
        <v/>
      </c>
      <c r="AE115" s="59" t="str">
        <f>IF(AC115=1,Clean_Data!U115+ROW()/100000,"")</f>
        <v/>
      </c>
      <c r="AF115" s="59" t="str">
        <f>IF(Clean_Data!A115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115)))&gt;0,1,0))</f>
        <v/>
      </c>
      <c r="AG115" s="59" t="str">
        <f>IF(Clean_Data!A115="","",IF(SUMPRODUCT(--ISNUMBER(SEARCH({"DATE_ORDER","DATE_FUTURE","FOLLOWUP_BEFORE"},Clean_Data!S115)))&gt;0,1,0))</f>
        <v/>
      </c>
    </row>
    <row r="116" spans="27:33" x14ac:dyDescent="0.35">
      <c r="AA116" s="59" t="str">
        <f>IF(Clean_Data!A116="","",IFERROR(INDEX($D$7:$D$13,MATCH(Clean_Data!J116,$A$7:$A$13,0)),0))</f>
        <v/>
      </c>
      <c r="AB116" s="59" t="str">
        <f>IF(Clean_Data!A116="","",IF(AND(AA116=1,Clean_Data!V116="Yes"),1,0))</f>
        <v/>
      </c>
      <c r="AC116" s="59" t="str">
        <f>IF(Clean_Data!A116="","",IF(Clean_Data!W116="Yes",1,0))</f>
        <v/>
      </c>
      <c r="AD116" s="59" t="str">
        <f>IF(AB116=1,Settings!$B$2-Clean_Data!N116+ROW()/100000,"")</f>
        <v/>
      </c>
      <c r="AE116" s="59" t="str">
        <f>IF(AC116=1,Clean_Data!U116+ROW()/100000,"")</f>
        <v/>
      </c>
      <c r="AF116" s="59" t="str">
        <f>IF(Clean_Data!A116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116)))&gt;0,1,0))</f>
        <v/>
      </c>
      <c r="AG116" s="59" t="str">
        <f>IF(Clean_Data!A116="","",IF(SUMPRODUCT(--ISNUMBER(SEARCH({"DATE_ORDER","DATE_FUTURE","FOLLOWUP_BEFORE"},Clean_Data!S116)))&gt;0,1,0))</f>
        <v/>
      </c>
    </row>
    <row r="117" spans="27:33" x14ac:dyDescent="0.35">
      <c r="AA117" s="59" t="str">
        <f>IF(Clean_Data!A117="","",IFERROR(INDEX($D$7:$D$13,MATCH(Clean_Data!J117,$A$7:$A$13,0)),0))</f>
        <v/>
      </c>
      <c r="AB117" s="59" t="str">
        <f>IF(Clean_Data!A117="","",IF(AND(AA117=1,Clean_Data!V117="Yes"),1,0))</f>
        <v/>
      </c>
      <c r="AC117" s="59" t="str">
        <f>IF(Clean_Data!A117="","",IF(Clean_Data!W117="Yes",1,0))</f>
        <v/>
      </c>
      <c r="AD117" s="59" t="str">
        <f>IF(AB117=1,Settings!$B$2-Clean_Data!N117+ROW()/100000,"")</f>
        <v/>
      </c>
      <c r="AE117" s="59" t="str">
        <f>IF(AC117=1,Clean_Data!U117+ROW()/100000,"")</f>
        <v/>
      </c>
      <c r="AF117" s="59" t="str">
        <f>IF(Clean_Data!A117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117)))&gt;0,1,0))</f>
        <v/>
      </c>
      <c r="AG117" s="59" t="str">
        <f>IF(Clean_Data!A117="","",IF(SUMPRODUCT(--ISNUMBER(SEARCH({"DATE_ORDER","DATE_FUTURE","FOLLOWUP_BEFORE"},Clean_Data!S117)))&gt;0,1,0))</f>
        <v/>
      </c>
    </row>
    <row r="118" spans="27:33" x14ac:dyDescent="0.35">
      <c r="AA118" s="59" t="str">
        <f>IF(Clean_Data!A118="","",IFERROR(INDEX($D$7:$D$13,MATCH(Clean_Data!J118,$A$7:$A$13,0)),0))</f>
        <v/>
      </c>
      <c r="AB118" s="59" t="str">
        <f>IF(Clean_Data!A118="","",IF(AND(AA118=1,Clean_Data!V118="Yes"),1,0))</f>
        <v/>
      </c>
      <c r="AC118" s="59" t="str">
        <f>IF(Clean_Data!A118="","",IF(Clean_Data!W118="Yes",1,0))</f>
        <v/>
      </c>
      <c r="AD118" s="59" t="str">
        <f>IF(AB118=1,Settings!$B$2-Clean_Data!N118+ROW()/100000,"")</f>
        <v/>
      </c>
      <c r="AE118" s="59" t="str">
        <f>IF(AC118=1,Clean_Data!U118+ROW()/100000,"")</f>
        <v/>
      </c>
      <c r="AF118" s="59" t="str">
        <f>IF(Clean_Data!A118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118)))&gt;0,1,0))</f>
        <v/>
      </c>
      <c r="AG118" s="59" t="str">
        <f>IF(Clean_Data!A118="","",IF(SUMPRODUCT(--ISNUMBER(SEARCH({"DATE_ORDER","DATE_FUTURE","FOLLOWUP_BEFORE"},Clean_Data!S118)))&gt;0,1,0))</f>
        <v/>
      </c>
    </row>
    <row r="119" spans="27:33" x14ac:dyDescent="0.35">
      <c r="AA119" s="59" t="str">
        <f>IF(Clean_Data!A119="","",IFERROR(INDEX($D$7:$D$13,MATCH(Clean_Data!J119,$A$7:$A$13,0)),0))</f>
        <v/>
      </c>
      <c r="AB119" s="59" t="str">
        <f>IF(Clean_Data!A119="","",IF(AND(AA119=1,Clean_Data!V119="Yes"),1,0))</f>
        <v/>
      </c>
      <c r="AC119" s="59" t="str">
        <f>IF(Clean_Data!A119="","",IF(Clean_Data!W119="Yes",1,0))</f>
        <v/>
      </c>
      <c r="AD119" s="59" t="str">
        <f>IF(AB119=1,Settings!$B$2-Clean_Data!N119+ROW()/100000,"")</f>
        <v/>
      </c>
      <c r="AE119" s="59" t="str">
        <f>IF(AC119=1,Clean_Data!U119+ROW()/100000,"")</f>
        <v/>
      </c>
      <c r="AF119" s="59" t="str">
        <f>IF(Clean_Data!A119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119)))&gt;0,1,0))</f>
        <v/>
      </c>
      <c r="AG119" s="59" t="str">
        <f>IF(Clean_Data!A119="","",IF(SUMPRODUCT(--ISNUMBER(SEARCH({"DATE_ORDER","DATE_FUTURE","FOLLOWUP_BEFORE"},Clean_Data!S119)))&gt;0,1,0))</f>
        <v/>
      </c>
    </row>
    <row r="120" spans="27:33" x14ac:dyDescent="0.35">
      <c r="AA120" s="59" t="str">
        <f>IF(Clean_Data!A120="","",IFERROR(INDEX($D$7:$D$13,MATCH(Clean_Data!J120,$A$7:$A$13,0)),0))</f>
        <v/>
      </c>
      <c r="AB120" s="59" t="str">
        <f>IF(Clean_Data!A120="","",IF(AND(AA120=1,Clean_Data!V120="Yes"),1,0))</f>
        <v/>
      </c>
      <c r="AC120" s="59" t="str">
        <f>IF(Clean_Data!A120="","",IF(Clean_Data!W120="Yes",1,0))</f>
        <v/>
      </c>
      <c r="AD120" s="59" t="str">
        <f>IF(AB120=1,Settings!$B$2-Clean_Data!N120+ROW()/100000,"")</f>
        <v/>
      </c>
      <c r="AE120" s="59" t="str">
        <f>IF(AC120=1,Clean_Data!U120+ROW()/100000,"")</f>
        <v/>
      </c>
      <c r="AF120" s="59" t="str">
        <f>IF(Clean_Data!A120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120)))&gt;0,1,0))</f>
        <v/>
      </c>
      <c r="AG120" s="59" t="str">
        <f>IF(Clean_Data!A120="","",IF(SUMPRODUCT(--ISNUMBER(SEARCH({"DATE_ORDER","DATE_FUTURE","FOLLOWUP_BEFORE"},Clean_Data!S120)))&gt;0,1,0))</f>
        <v/>
      </c>
    </row>
    <row r="121" spans="27:33" x14ac:dyDescent="0.35">
      <c r="AA121" s="59" t="str">
        <f>IF(Clean_Data!A121="","",IFERROR(INDEX($D$7:$D$13,MATCH(Clean_Data!J121,$A$7:$A$13,0)),0))</f>
        <v/>
      </c>
      <c r="AB121" s="59" t="str">
        <f>IF(Clean_Data!A121="","",IF(AND(AA121=1,Clean_Data!V121="Yes"),1,0))</f>
        <v/>
      </c>
      <c r="AC121" s="59" t="str">
        <f>IF(Clean_Data!A121="","",IF(Clean_Data!W121="Yes",1,0))</f>
        <v/>
      </c>
      <c r="AD121" s="59" t="str">
        <f>IF(AB121=1,Settings!$B$2-Clean_Data!N121+ROW()/100000,"")</f>
        <v/>
      </c>
      <c r="AE121" s="59" t="str">
        <f>IF(AC121=1,Clean_Data!U121+ROW()/100000,"")</f>
        <v/>
      </c>
      <c r="AF121" s="59" t="str">
        <f>IF(Clean_Data!A121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121)))&gt;0,1,0))</f>
        <v/>
      </c>
      <c r="AG121" s="59" t="str">
        <f>IF(Clean_Data!A121="","",IF(SUMPRODUCT(--ISNUMBER(SEARCH({"DATE_ORDER","DATE_FUTURE","FOLLOWUP_BEFORE"},Clean_Data!S121)))&gt;0,1,0))</f>
        <v/>
      </c>
    </row>
    <row r="122" spans="27:33" x14ac:dyDescent="0.35">
      <c r="AA122" s="59" t="str">
        <f>IF(Clean_Data!A122="","",IFERROR(INDEX($D$7:$D$13,MATCH(Clean_Data!J122,$A$7:$A$13,0)),0))</f>
        <v/>
      </c>
      <c r="AB122" s="59" t="str">
        <f>IF(Clean_Data!A122="","",IF(AND(AA122=1,Clean_Data!V122="Yes"),1,0))</f>
        <v/>
      </c>
      <c r="AC122" s="59" t="str">
        <f>IF(Clean_Data!A122="","",IF(Clean_Data!W122="Yes",1,0))</f>
        <v/>
      </c>
      <c r="AD122" s="59" t="str">
        <f>IF(AB122=1,Settings!$B$2-Clean_Data!N122+ROW()/100000,"")</f>
        <v/>
      </c>
      <c r="AE122" s="59" t="str">
        <f>IF(AC122=1,Clean_Data!U122+ROW()/100000,"")</f>
        <v/>
      </c>
      <c r="AF122" s="59" t="str">
        <f>IF(Clean_Data!A122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122)))&gt;0,1,0))</f>
        <v/>
      </c>
      <c r="AG122" s="59" t="str">
        <f>IF(Clean_Data!A122="","",IF(SUMPRODUCT(--ISNUMBER(SEARCH({"DATE_ORDER","DATE_FUTURE","FOLLOWUP_BEFORE"},Clean_Data!S122)))&gt;0,1,0))</f>
        <v/>
      </c>
    </row>
    <row r="123" spans="27:33" x14ac:dyDescent="0.35">
      <c r="AA123" s="59" t="str">
        <f>IF(Clean_Data!A123="","",IFERROR(INDEX($D$7:$D$13,MATCH(Clean_Data!J123,$A$7:$A$13,0)),0))</f>
        <v/>
      </c>
      <c r="AB123" s="59" t="str">
        <f>IF(Clean_Data!A123="","",IF(AND(AA123=1,Clean_Data!V123="Yes"),1,0))</f>
        <v/>
      </c>
      <c r="AC123" s="59" t="str">
        <f>IF(Clean_Data!A123="","",IF(Clean_Data!W123="Yes",1,0))</f>
        <v/>
      </c>
      <c r="AD123" s="59" t="str">
        <f>IF(AB123=1,Settings!$B$2-Clean_Data!N123+ROW()/100000,"")</f>
        <v/>
      </c>
      <c r="AE123" s="59" t="str">
        <f>IF(AC123=1,Clean_Data!U123+ROW()/100000,"")</f>
        <v/>
      </c>
      <c r="AF123" s="59" t="str">
        <f>IF(Clean_Data!A123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123)))&gt;0,1,0))</f>
        <v/>
      </c>
      <c r="AG123" s="59" t="str">
        <f>IF(Clean_Data!A123="","",IF(SUMPRODUCT(--ISNUMBER(SEARCH({"DATE_ORDER","DATE_FUTURE","FOLLOWUP_BEFORE"},Clean_Data!S123)))&gt;0,1,0))</f>
        <v/>
      </c>
    </row>
    <row r="124" spans="27:33" x14ac:dyDescent="0.35">
      <c r="AA124" s="59" t="str">
        <f>IF(Clean_Data!A124="","",IFERROR(INDEX($D$7:$D$13,MATCH(Clean_Data!J124,$A$7:$A$13,0)),0))</f>
        <v/>
      </c>
      <c r="AB124" s="59" t="str">
        <f>IF(Clean_Data!A124="","",IF(AND(AA124=1,Clean_Data!V124="Yes"),1,0))</f>
        <v/>
      </c>
      <c r="AC124" s="59" t="str">
        <f>IF(Clean_Data!A124="","",IF(Clean_Data!W124="Yes",1,0))</f>
        <v/>
      </c>
      <c r="AD124" s="59" t="str">
        <f>IF(AB124=1,Settings!$B$2-Clean_Data!N124+ROW()/100000,"")</f>
        <v/>
      </c>
      <c r="AE124" s="59" t="str">
        <f>IF(AC124=1,Clean_Data!U124+ROW()/100000,"")</f>
        <v/>
      </c>
      <c r="AF124" s="59" t="str">
        <f>IF(Clean_Data!A124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124)))&gt;0,1,0))</f>
        <v/>
      </c>
      <c r="AG124" s="59" t="str">
        <f>IF(Clean_Data!A124="","",IF(SUMPRODUCT(--ISNUMBER(SEARCH({"DATE_ORDER","DATE_FUTURE","FOLLOWUP_BEFORE"},Clean_Data!S124)))&gt;0,1,0))</f>
        <v/>
      </c>
    </row>
    <row r="125" spans="27:33" x14ac:dyDescent="0.35">
      <c r="AA125" s="59" t="str">
        <f>IF(Clean_Data!A125="","",IFERROR(INDEX($D$7:$D$13,MATCH(Clean_Data!J125,$A$7:$A$13,0)),0))</f>
        <v/>
      </c>
      <c r="AB125" s="59" t="str">
        <f>IF(Clean_Data!A125="","",IF(AND(AA125=1,Clean_Data!V125="Yes"),1,0))</f>
        <v/>
      </c>
      <c r="AC125" s="59" t="str">
        <f>IF(Clean_Data!A125="","",IF(Clean_Data!W125="Yes",1,0))</f>
        <v/>
      </c>
      <c r="AD125" s="59" t="str">
        <f>IF(AB125=1,Settings!$B$2-Clean_Data!N125+ROW()/100000,"")</f>
        <v/>
      </c>
      <c r="AE125" s="59" t="str">
        <f>IF(AC125=1,Clean_Data!U125+ROW()/100000,"")</f>
        <v/>
      </c>
      <c r="AF125" s="59" t="str">
        <f>IF(Clean_Data!A125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125)))&gt;0,1,0))</f>
        <v/>
      </c>
      <c r="AG125" s="59" t="str">
        <f>IF(Clean_Data!A125="","",IF(SUMPRODUCT(--ISNUMBER(SEARCH({"DATE_ORDER","DATE_FUTURE","FOLLOWUP_BEFORE"},Clean_Data!S125)))&gt;0,1,0))</f>
        <v/>
      </c>
    </row>
    <row r="126" spans="27:33" x14ac:dyDescent="0.35">
      <c r="AA126" s="59" t="str">
        <f>IF(Clean_Data!A126="","",IFERROR(INDEX($D$7:$D$13,MATCH(Clean_Data!J126,$A$7:$A$13,0)),0))</f>
        <v/>
      </c>
      <c r="AB126" s="59" t="str">
        <f>IF(Clean_Data!A126="","",IF(AND(AA126=1,Clean_Data!V126="Yes"),1,0))</f>
        <v/>
      </c>
      <c r="AC126" s="59" t="str">
        <f>IF(Clean_Data!A126="","",IF(Clean_Data!W126="Yes",1,0))</f>
        <v/>
      </c>
      <c r="AD126" s="59" t="str">
        <f>IF(AB126=1,Settings!$B$2-Clean_Data!N126+ROW()/100000,"")</f>
        <v/>
      </c>
      <c r="AE126" s="59" t="str">
        <f>IF(AC126=1,Clean_Data!U126+ROW()/100000,"")</f>
        <v/>
      </c>
      <c r="AF126" s="59" t="str">
        <f>IF(Clean_Data!A126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126)))&gt;0,1,0))</f>
        <v/>
      </c>
      <c r="AG126" s="59" t="str">
        <f>IF(Clean_Data!A126="","",IF(SUMPRODUCT(--ISNUMBER(SEARCH({"DATE_ORDER","DATE_FUTURE","FOLLOWUP_BEFORE"},Clean_Data!S126)))&gt;0,1,0))</f>
        <v/>
      </c>
    </row>
    <row r="127" spans="27:33" x14ac:dyDescent="0.35">
      <c r="AA127" s="59" t="str">
        <f>IF(Clean_Data!A127="","",IFERROR(INDEX($D$7:$D$13,MATCH(Clean_Data!J127,$A$7:$A$13,0)),0))</f>
        <v/>
      </c>
      <c r="AB127" s="59" t="str">
        <f>IF(Clean_Data!A127="","",IF(AND(AA127=1,Clean_Data!V127="Yes"),1,0))</f>
        <v/>
      </c>
      <c r="AC127" s="59" t="str">
        <f>IF(Clean_Data!A127="","",IF(Clean_Data!W127="Yes",1,0))</f>
        <v/>
      </c>
      <c r="AD127" s="59" t="str">
        <f>IF(AB127=1,Settings!$B$2-Clean_Data!N127+ROW()/100000,"")</f>
        <v/>
      </c>
      <c r="AE127" s="59" t="str">
        <f>IF(AC127=1,Clean_Data!U127+ROW()/100000,"")</f>
        <v/>
      </c>
      <c r="AF127" s="59" t="str">
        <f>IF(Clean_Data!A127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127)))&gt;0,1,0))</f>
        <v/>
      </c>
      <c r="AG127" s="59" t="str">
        <f>IF(Clean_Data!A127="","",IF(SUMPRODUCT(--ISNUMBER(SEARCH({"DATE_ORDER","DATE_FUTURE","FOLLOWUP_BEFORE"},Clean_Data!S127)))&gt;0,1,0))</f>
        <v/>
      </c>
    </row>
    <row r="128" spans="27:33" x14ac:dyDescent="0.35">
      <c r="AA128" s="59" t="str">
        <f>IF(Clean_Data!A128="","",IFERROR(INDEX($D$7:$D$13,MATCH(Clean_Data!J128,$A$7:$A$13,0)),0))</f>
        <v/>
      </c>
      <c r="AB128" s="59" t="str">
        <f>IF(Clean_Data!A128="","",IF(AND(AA128=1,Clean_Data!V128="Yes"),1,0))</f>
        <v/>
      </c>
      <c r="AC128" s="59" t="str">
        <f>IF(Clean_Data!A128="","",IF(Clean_Data!W128="Yes",1,0))</f>
        <v/>
      </c>
      <c r="AD128" s="59" t="str">
        <f>IF(AB128=1,Settings!$B$2-Clean_Data!N128+ROW()/100000,"")</f>
        <v/>
      </c>
      <c r="AE128" s="59" t="str">
        <f>IF(AC128=1,Clean_Data!U128+ROW()/100000,"")</f>
        <v/>
      </c>
      <c r="AF128" s="59" t="str">
        <f>IF(Clean_Data!A128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128)))&gt;0,1,0))</f>
        <v/>
      </c>
      <c r="AG128" s="59" t="str">
        <f>IF(Clean_Data!A128="","",IF(SUMPRODUCT(--ISNUMBER(SEARCH({"DATE_ORDER","DATE_FUTURE","FOLLOWUP_BEFORE"},Clean_Data!S128)))&gt;0,1,0))</f>
        <v/>
      </c>
    </row>
    <row r="129" spans="27:33" x14ac:dyDescent="0.35">
      <c r="AA129" s="59" t="str">
        <f>IF(Clean_Data!A129="","",IFERROR(INDEX($D$7:$D$13,MATCH(Clean_Data!J129,$A$7:$A$13,0)),0))</f>
        <v/>
      </c>
      <c r="AB129" s="59" t="str">
        <f>IF(Clean_Data!A129="","",IF(AND(AA129=1,Clean_Data!V129="Yes"),1,0))</f>
        <v/>
      </c>
      <c r="AC129" s="59" t="str">
        <f>IF(Clean_Data!A129="","",IF(Clean_Data!W129="Yes",1,0))</f>
        <v/>
      </c>
      <c r="AD129" s="59" t="str">
        <f>IF(AB129=1,Settings!$B$2-Clean_Data!N129+ROW()/100000,"")</f>
        <v/>
      </c>
      <c r="AE129" s="59" t="str">
        <f>IF(AC129=1,Clean_Data!U129+ROW()/100000,"")</f>
        <v/>
      </c>
      <c r="AF129" s="59" t="str">
        <f>IF(Clean_Data!A129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129)))&gt;0,1,0))</f>
        <v/>
      </c>
      <c r="AG129" s="59" t="str">
        <f>IF(Clean_Data!A129="","",IF(SUMPRODUCT(--ISNUMBER(SEARCH({"DATE_ORDER","DATE_FUTURE","FOLLOWUP_BEFORE"},Clean_Data!S129)))&gt;0,1,0))</f>
        <v/>
      </c>
    </row>
    <row r="130" spans="27:33" x14ac:dyDescent="0.35">
      <c r="AA130" s="59" t="str">
        <f>IF(Clean_Data!A130="","",IFERROR(INDEX($D$7:$D$13,MATCH(Clean_Data!J130,$A$7:$A$13,0)),0))</f>
        <v/>
      </c>
      <c r="AB130" s="59" t="str">
        <f>IF(Clean_Data!A130="","",IF(AND(AA130=1,Clean_Data!V130="Yes"),1,0))</f>
        <v/>
      </c>
      <c r="AC130" s="59" t="str">
        <f>IF(Clean_Data!A130="","",IF(Clean_Data!W130="Yes",1,0))</f>
        <v/>
      </c>
      <c r="AD130" s="59" t="str">
        <f>IF(AB130=1,Settings!$B$2-Clean_Data!N130+ROW()/100000,"")</f>
        <v/>
      </c>
      <c r="AE130" s="59" t="str">
        <f>IF(AC130=1,Clean_Data!U130+ROW()/100000,"")</f>
        <v/>
      </c>
      <c r="AF130" s="59" t="str">
        <f>IF(Clean_Data!A130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130)))&gt;0,1,0))</f>
        <v/>
      </c>
      <c r="AG130" s="59" t="str">
        <f>IF(Clean_Data!A130="","",IF(SUMPRODUCT(--ISNUMBER(SEARCH({"DATE_ORDER","DATE_FUTURE","FOLLOWUP_BEFORE"},Clean_Data!S130)))&gt;0,1,0))</f>
        <v/>
      </c>
    </row>
    <row r="131" spans="27:33" x14ac:dyDescent="0.35">
      <c r="AA131" s="59" t="str">
        <f>IF(Clean_Data!A131="","",IFERROR(INDEX($D$7:$D$13,MATCH(Clean_Data!J131,$A$7:$A$13,0)),0))</f>
        <v/>
      </c>
      <c r="AB131" s="59" t="str">
        <f>IF(Clean_Data!A131="","",IF(AND(AA131=1,Clean_Data!V131="Yes"),1,0))</f>
        <v/>
      </c>
      <c r="AC131" s="59" t="str">
        <f>IF(Clean_Data!A131="","",IF(Clean_Data!W131="Yes",1,0))</f>
        <v/>
      </c>
      <c r="AD131" s="59" t="str">
        <f>IF(AB131=1,Settings!$B$2-Clean_Data!N131+ROW()/100000,"")</f>
        <v/>
      </c>
      <c r="AE131" s="59" t="str">
        <f>IF(AC131=1,Clean_Data!U131+ROW()/100000,"")</f>
        <v/>
      </c>
      <c r="AF131" s="59" t="str">
        <f>IF(Clean_Data!A131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131)))&gt;0,1,0))</f>
        <v/>
      </c>
      <c r="AG131" s="59" t="str">
        <f>IF(Clean_Data!A131="","",IF(SUMPRODUCT(--ISNUMBER(SEARCH({"DATE_ORDER","DATE_FUTURE","FOLLOWUP_BEFORE"},Clean_Data!S131)))&gt;0,1,0))</f>
        <v/>
      </c>
    </row>
    <row r="132" spans="27:33" x14ac:dyDescent="0.35">
      <c r="AA132" s="59" t="str">
        <f>IF(Clean_Data!A132="","",IFERROR(INDEX($D$7:$D$13,MATCH(Clean_Data!J132,$A$7:$A$13,0)),0))</f>
        <v/>
      </c>
      <c r="AB132" s="59" t="str">
        <f>IF(Clean_Data!A132="","",IF(AND(AA132=1,Clean_Data!V132="Yes"),1,0))</f>
        <v/>
      </c>
      <c r="AC132" s="59" t="str">
        <f>IF(Clean_Data!A132="","",IF(Clean_Data!W132="Yes",1,0))</f>
        <v/>
      </c>
      <c r="AD132" s="59" t="str">
        <f>IF(AB132=1,Settings!$B$2-Clean_Data!N132+ROW()/100000,"")</f>
        <v/>
      </c>
      <c r="AE132" s="59" t="str">
        <f>IF(AC132=1,Clean_Data!U132+ROW()/100000,"")</f>
        <v/>
      </c>
      <c r="AF132" s="59" t="str">
        <f>IF(Clean_Data!A132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132)))&gt;0,1,0))</f>
        <v/>
      </c>
      <c r="AG132" s="59" t="str">
        <f>IF(Clean_Data!A132="","",IF(SUMPRODUCT(--ISNUMBER(SEARCH({"DATE_ORDER","DATE_FUTURE","FOLLOWUP_BEFORE"},Clean_Data!S132)))&gt;0,1,0))</f>
        <v/>
      </c>
    </row>
    <row r="133" spans="27:33" x14ac:dyDescent="0.35">
      <c r="AA133" s="59" t="str">
        <f>IF(Clean_Data!A133="","",IFERROR(INDEX($D$7:$D$13,MATCH(Clean_Data!J133,$A$7:$A$13,0)),0))</f>
        <v/>
      </c>
      <c r="AB133" s="59" t="str">
        <f>IF(Clean_Data!A133="","",IF(AND(AA133=1,Clean_Data!V133="Yes"),1,0))</f>
        <v/>
      </c>
      <c r="AC133" s="59" t="str">
        <f>IF(Clean_Data!A133="","",IF(Clean_Data!W133="Yes",1,0))</f>
        <v/>
      </c>
      <c r="AD133" s="59" t="str">
        <f>IF(AB133=1,Settings!$B$2-Clean_Data!N133+ROW()/100000,"")</f>
        <v/>
      </c>
      <c r="AE133" s="59" t="str">
        <f>IF(AC133=1,Clean_Data!U133+ROW()/100000,"")</f>
        <v/>
      </c>
      <c r="AF133" s="59" t="str">
        <f>IF(Clean_Data!A133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133)))&gt;0,1,0))</f>
        <v/>
      </c>
      <c r="AG133" s="59" t="str">
        <f>IF(Clean_Data!A133="","",IF(SUMPRODUCT(--ISNUMBER(SEARCH({"DATE_ORDER","DATE_FUTURE","FOLLOWUP_BEFORE"},Clean_Data!S133)))&gt;0,1,0))</f>
        <v/>
      </c>
    </row>
    <row r="134" spans="27:33" x14ac:dyDescent="0.35">
      <c r="AA134" s="59" t="str">
        <f>IF(Clean_Data!A134="","",IFERROR(INDEX($D$7:$D$13,MATCH(Clean_Data!J134,$A$7:$A$13,0)),0))</f>
        <v/>
      </c>
      <c r="AB134" s="59" t="str">
        <f>IF(Clean_Data!A134="","",IF(AND(AA134=1,Clean_Data!V134="Yes"),1,0))</f>
        <v/>
      </c>
      <c r="AC134" s="59" t="str">
        <f>IF(Clean_Data!A134="","",IF(Clean_Data!W134="Yes",1,0))</f>
        <v/>
      </c>
      <c r="AD134" s="59" t="str">
        <f>IF(AB134=1,Settings!$B$2-Clean_Data!N134+ROW()/100000,"")</f>
        <v/>
      </c>
      <c r="AE134" s="59" t="str">
        <f>IF(AC134=1,Clean_Data!U134+ROW()/100000,"")</f>
        <v/>
      </c>
      <c r="AF134" s="59" t="str">
        <f>IF(Clean_Data!A134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134)))&gt;0,1,0))</f>
        <v/>
      </c>
      <c r="AG134" s="59" t="str">
        <f>IF(Clean_Data!A134="","",IF(SUMPRODUCT(--ISNUMBER(SEARCH({"DATE_ORDER","DATE_FUTURE","FOLLOWUP_BEFORE"},Clean_Data!S134)))&gt;0,1,0))</f>
        <v/>
      </c>
    </row>
    <row r="135" spans="27:33" x14ac:dyDescent="0.35">
      <c r="AA135" s="59" t="str">
        <f>IF(Clean_Data!A135="","",IFERROR(INDEX($D$7:$D$13,MATCH(Clean_Data!J135,$A$7:$A$13,0)),0))</f>
        <v/>
      </c>
      <c r="AB135" s="59" t="str">
        <f>IF(Clean_Data!A135="","",IF(AND(AA135=1,Clean_Data!V135="Yes"),1,0))</f>
        <v/>
      </c>
      <c r="AC135" s="59" t="str">
        <f>IF(Clean_Data!A135="","",IF(Clean_Data!W135="Yes",1,0))</f>
        <v/>
      </c>
      <c r="AD135" s="59" t="str">
        <f>IF(AB135=1,Settings!$B$2-Clean_Data!N135+ROW()/100000,"")</f>
        <v/>
      </c>
      <c r="AE135" s="59" t="str">
        <f>IF(AC135=1,Clean_Data!U135+ROW()/100000,"")</f>
        <v/>
      </c>
      <c r="AF135" s="59" t="str">
        <f>IF(Clean_Data!A135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135)))&gt;0,1,0))</f>
        <v/>
      </c>
      <c r="AG135" s="59" t="str">
        <f>IF(Clean_Data!A135="","",IF(SUMPRODUCT(--ISNUMBER(SEARCH({"DATE_ORDER","DATE_FUTURE","FOLLOWUP_BEFORE"},Clean_Data!S135)))&gt;0,1,0))</f>
        <v/>
      </c>
    </row>
    <row r="136" spans="27:33" x14ac:dyDescent="0.35">
      <c r="AA136" s="59" t="str">
        <f>IF(Clean_Data!A136="","",IFERROR(INDEX($D$7:$D$13,MATCH(Clean_Data!J136,$A$7:$A$13,0)),0))</f>
        <v/>
      </c>
      <c r="AB136" s="59" t="str">
        <f>IF(Clean_Data!A136="","",IF(AND(AA136=1,Clean_Data!V136="Yes"),1,0))</f>
        <v/>
      </c>
      <c r="AC136" s="59" t="str">
        <f>IF(Clean_Data!A136="","",IF(Clean_Data!W136="Yes",1,0))</f>
        <v/>
      </c>
      <c r="AD136" s="59" t="str">
        <f>IF(AB136=1,Settings!$B$2-Clean_Data!N136+ROW()/100000,"")</f>
        <v/>
      </c>
      <c r="AE136" s="59" t="str">
        <f>IF(AC136=1,Clean_Data!U136+ROW()/100000,"")</f>
        <v/>
      </c>
      <c r="AF136" s="59" t="str">
        <f>IF(Clean_Data!A136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136)))&gt;0,1,0))</f>
        <v/>
      </c>
      <c r="AG136" s="59" t="str">
        <f>IF(Clean_Data!A136="","",IF(SUMPRODUCT(--ISNUMBER(SEARCH({"DATE_ORDER","DATE_FUTURE","FOLLOWUP_BEFORE"},Clean_Data!S136)))&gt;0,1,0))</f>
        <v/>
      </c>
    </row>
    <row r="137" spans="27:33" x14ac:dyDescent="0.35">
      <c r="AA137" s="59" t="str">
        <f>IF(Clean_Data!A137="","",IFERROR(INDEX($D$7:$D$13,MATCH(Clean_Data!J137,$A$7:$A$13,0)),0))</f>
        <v/>
      </c>
      <c r="AB137" s="59" t="str">
        <f>IF(Clean_Data!A137="","",IF(AND(AA137=1,Clean_Data!V137="Yes"),1,0))</f>
        <v/>
      </c>
      <c r="AC137" s="59" t="str">
        <f>IF(Clean_Data!A137="","",IF(Clean_Data!W137="Yes",1,0))</f>
        <v/>
      </c>
      <c r="AD137" s="59" t="str">
        <f>IF(AB137=1,Settings!$B$2-Clean_Data!N137+ROW()/100000,"")</f>
        <v/>
      </c>
      <c r="AE137" s="59" t="str">
        <f>IF(AC137=1,Clean_Data!U137+ROW()/100000,"")</f>
        <v/>
      </c>
      <c r="AF137" s="59" t="str">
        <f>IF(Clean_Data!A137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137)))&gt;0,1,0))</f>
        <v/>
      </c>
      <c r="AG137" s="59" t="str">
        <f>IF(Clean_Data!A137="","",IF(SUMPRODUCT(--ISNUMBER(SEARCH({"DATE_ORDER","DATE_FUTURE","FOLLOWUP_BEFORE"},Clean_Data!S137)))&gt;0,1,0))</f>
        <v/>
      </c>
    </row>
    <row r="138" spans="27:33" x14ac:dyDescent="0.35">
      <c r="AA138" s="59" t="str">
        <f>IF(Clean_Data!A138="","",IFERROR(INDEX($D$7:$D$13,MATCH(Clean_Data!J138,$A$7:$A$13,0)),0))</f>
        <v/>
      </c>
      <c r="AB138" s="59" t="str">
        <f>IF(Clean_Data!A138="","",IF(AND(AA138=1,Clean_Data!V138="Yes"),1,0))</f>
        <v/>
      </c>
      <c r="AC138" s="59" t="str">
        <f>IF(Clean_Data!A138="","",IF(Clean_Data!W138="Yes",1,0))</f>
        <v/>
      </c>
      <c r="AD138" s="59" t="str">
        <f>IF(AB138=1,Settings!$B$2-Clean_Data!N138+ROW()/100000,"")</f>
        <v/>
      </c>
      <c r="AE138" s="59" t="str">
        <f>IF(AC138=1,Clean_Data!U138+ROW()/100000,"")</f>
        <v/>
      </c>
      <c r="AF138" s="59" t="str">
        <f>IF(Clean_Data!A138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138)))&gt;0,1,0))</f>
        <v/>
      </c>
      <c r="AG138" s="59" t="str">
        <f>IF(Clean_Data!A138="","",IF(SUMPRODUCT(--ISNUMBER(SEARCH({"DATE_ORDER","DATE_FUTURE","FOLLOWUP_BEFORE"},Clean_Data!S138)))&gt;0,1,0))</f>
        <v/>
      </c>
    </row>
    <row r="139" spans="27:33" x14ac:dyDescent="0.35">
      <c r="AA139" s="59" t="str">
        <f>IF(Clean_Data!A139="","",IFERROR(INDEX($D$7:$D$13,MATCH(Clean_Data!J139,$A$7:$A$13,0)),0))</f>
        <v/>
      </c>
      <c r="AB139" s="59" t="str">
        <f>IF(Clean_Data!A139="","",IF(AND(AA139=1,Clean_Data!V139="Yes"),1,0))</f>
        <v/>
      </c>
      <c r="AC139" s="59" t="str">
        <f>IF(Clean_Data!A139="","",IF(Clean_Data!W139="Yes",1,0))</f>
        <v/>
      </c>
      <c r="AD139" s="59" t="str">
        <f>IF(AB139=1,Settings!$B$2-Clean_Data!N139+ROW()/100000,"")</f>
        <v/>
      </c>
      <c r="AE139" s="59" t="str">
        <f>IF(AC139=1,Clean_Data!U139+ROW()/100000,"")</f>
        <v/>
      </c>
      <c r="AF139" s="59" t="str">
        <f>IF(Clean_Data!A139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139)))&gt;0,1,0))</f>
        <v/>
      </c>
      <c r="AG139" s="59" t="str">
        <f>IF(Clean_Data!A139="","",IF(SUMPRODUCT(--ISNUMBER(SEARCH({"DATE_ORDER","DATE_FUTURE","FOLLOWUP_BEFORE"},Clean_Data!S139)))&gt;0,1,0))</f>
        <v/>
      </c>
    </row>
    <row r="140" spans="27:33" x14ac:dyDescent="0.35">
      <c r="AA140" s="59" t="str">
        <f>IF(Clean_Data!A140="","",IFERROR(INDEX($D$7:$D$13,MATCH(Clean_Data!J140,$A$7:$A$13,0)),0))</f>
        <v/>
      </c>
      <c r="AB140" s="59" t="str">
        <f>IF(Clean_Data!A140="","",IF(AND(AA140=1,Clean_Data!V140="Yes"),1,0))</f>
        <v/>
      </c>
      <c r="AC140" s="59" t="str">
        <f>IF(Clean_Data!A140="","",IF(Clean_Data!W140="Yes",1,0))</f>
        <v/>
      </c>
      <c r="AD140" s="59" t="str">
        <f>IF(AB140=1,Settings!$B$2-Clean_Data!N140+ROW()/100000,"")</f>
        <v/>
      </c>
      <c r="AE140" s="59" t="str">
        <f>IF(AC140=1,Clean_Data!U140+ROW()/100000,"")</f>
        <v/>
      </c>
      <c r="AF140" s="59" t="str">
        <f>IF(Clean_Data!A140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140)))&gt;0,1,0))</f>
        <v/>
      </c>
      <c r="AG140" s="59" t="str">
        <f>IF(Clean_Data!A140="","",IF(SUMPRODUCT(--ISNUMBER(SEARCH({"DATE_ORDER","DATE_FUTURE","FOLLOWUP_BEFORE"},Clean_Data!S140)))&gt;0,1,0))</f>
        <v/>
      </c>
    </row>
    <row r="141" spans="27:33" x14ac:dyDescent="0.35">
      <c r="AA141" s="59" t="str">
        <f>IF(Clean_Data!A141="","",IFERROR(INDEX($D$7:$D$13,MATCH(Clean_Data!J141,$A$7:$A$13,0)),0))</f>
        <v/>
      </c>
      <c r="AB141" s="59" t="str">
        <f>IF(Clean_Data!A141="","",IF(AND(AA141=1,Clean_Data!V141="Yes"),1,0))</f>
        <v/>
      </c>
      <c r="AC141" s="59" t="str">
        <f>IF(Clean_Data!A141="","",IF(Clean_Data!W141="Yes",1,0))</f>
        <v/>
      </c>
      <c r="AD141" s="59" t="str">
        <f>IF(AB141=1,Settings!$B$2-Clean_Data!N141+ROW()/100000,"")</f>
        <v/>
      </c>
      <c r="AE141" s="59" t="str">
        <f>IF(AC141=1,Clean_Data!U141+ROW()/100000,"")</f>
        <v/>
      </c>
      <c r="AF141" s="59" t="str">
        <f>IF(Clean_Data!A141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141)))&gt;0,1,0))</f>
        <v/>
      </c>
      <c r="AG141" s="59" t="str">
        <f>IF(Clean_Data!A141="","",IF(SUMPRODUCT(--ISNUMBER(SEARCH({"DATE_ORDER","DATE_FUTURE","FOLLOWUP_BEFORE"},Clean_Data!S141)))&gt;0,1,0))</f>
        <v/>
      </c>
    </row>
    <row r="142" spans="27:33" x14ac:dyDescent="0.35">
      <c r="AA142" s="59" t="str">
        <f>IF(Clean_Data!A142="","",IFERROR(INDEX($D$7:$D$13,MATCH(Clean_Data!J142,$A$7:$A$13,0)),0))</f>
        <v/>
      </c>
      <c r="AB142" s="59" t="str">
        <f>IF(Clean_Data!A142="","",IF(AND(AA142=1,Clean_Data!V142="Yes"),1,0))</f>
        <v/>
      </c>
      <c r="AC142" s="59" t="str">
        <f>IF(Clean_Data!A142="","",IF(Clean_Data!W142="Yes",1,0))</f>
        <v/>
      </c>
      <c r="AD142" s="59" t="str">
        <f>IF(AB142=1,Settings!$B$2-Clean_Data!N142+ROW()/100000,"")</f>
        <v/>
      </c>
      <c r="AE142" s="59" t="str">
        <f>IF(AC142=1,Clean_Data!U142+ROW()/100000,"")</f>
        <v/>
      </c>
      <c r="AF142" s="59" t="str">
        <f>IF(Clean_Data!A142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142)))&gt;0,1,0))</f>
        <v/>
      </c>
      <c r="AG142" s="59" t="str">
        <f>IF(Clean_Data!A142="","",IF(SUMPRODUCT(--ISNUMBER(SEARCH({"DATE_ORDER","DATE_FUTURE","FOLLOWUP_BEFORE"},Clean_Data!S142)))&gt;0,1,0))</f>
        <v/>
      </c>
    </row>
    <row r="143" spans="27:33" x14ac:dyDescent="0.35">
      <c r="AA143" s="59" t="str">
        <f>IF(Clean_Data!A143="","",IFERROR(INDEX($D$7:$D$13,MATCH(Clean_Data!J143,$A$7:$A$13,0)),0))</f>
        <v/>
      </c>
      <c r="AB143" s="59" t="str">
        <f>IF(Clean_Data!A143="","",IF(AND(AA143=1,Clean_Data!V143="Yes"),1,0))</f>
        <v/>
      </c>
      <c r="AC143" s="59" t="str">
        <f>IF(Clean_Data!A143="","",IF(Clean_Data!W143="Yes",1,0))</f>
        <v/>
      </c>
      <c r="AD143" s="59" t="str">
        <f>IF(AB143=1,Settings!$B$2-Clean_Data!N143+ROW()/100000,"")</f>
        <v/>
      </c>
      <c r="AE143" s="59" t="str">
        <f>IF(AC143=1,Clean_Data!U143+ROW()/100000,"")</f>
        <v/>
      </c>
      <c r="AF143" s="59" t="str">
        <f>IF(Clean_Data!A143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143)))&gt;0,1,0))</f>
        <v/>
      </c>
      <c r="AG143" s="59" t="str">
        <f>IF(Clean_Data!A143="","",IF(SUMPRODUCT(--ISNUMBER(SEARCH({"DATE_ORDER","DATE_FUTURE","FOLLOWUP_BEFORE"},Clean_Data!S143)))&gt;0,1,0))</f>
        <v/>
      </c>
    </row>
    <row r="144" spans="27:33" x14ac:dyDescent="0.35">
      <c r="AA144" s="59" t="str">
        <f>IF(Clean_Data!A144="","",IFERROR(INDEX($D$7:$D$13,MATCH(Clean_Data!J144,$A$7:$A$13,0)),0))</f>
        <v/>
      </c>
      <c r="AB144" s="59" t="str">
        <f>IF(Clean_Data!A144="","",IF(AND(AA144=1,Clean_Data!V144="Yes"),1,0))</f>
        <v/>
      </c>
      <c r="AC144" s="59" t="str">
        <f>IF(Clean_Data!A144="","",IF(Clean_Data!W144="Yes",1,0))</f>
        <v/>
      </c>
      <c r="AD144" s="59" t="str">
        <f>IF(AB144=1,Settings!$B$2-Clean_Data!N144+ROW()/100000,"")</f>
        <v/>
      </c>
      <c r="AE144" s="59" t="str">
        <f>IF(AC144=1,Clean_Data!U144+ROW()/100000,"")</f>
        <v/>
      </c>
      <c r="AF144" s="59" t="str">
        <f>IF(Clean_Data!A144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144)))&gt;0,1,0))</f>
        <v/>
      </c>
      <c r="AG144" s="59" t="str">
        <f>IF(Clean_Data!A144="","",IF(SUMPRODUCT(--ISNUMBER(SEARCH({"DATE_ORDER","DATE_FUTURE","FOLLOWUP_BEFORE"},Clean_Data!S144)))&gt;0,1,0))</f>
        <v/>
      </c>
    </row>
    <row r="145" spans="27:33" x14ac:dyDescent="0.35">
      <c r="AA145" s="59" t="str">
        <f>IF(Clean_Data!A145="","",IFERROR(INDEX($D$7:$D$13,MATCH(Clean_Data!J145,$A$7:$A$13,0)),0))</f>
        <v/>
      </c>
      <c r="AB145" s="59" t="str">
        <f>IF(Clean_Data!A145="","",IF(AND(AA145=1,Clean_Data!V145="Yes"),1,0))</f>
        <v/>
      </c>
      <c r="AC145" s="59" t="str">
        <f>IF(Clean_Data!A145="","",IF(Clean_Data!W145="Yes",1,0))</f>
        <v/>
      </c>
      <c r="AD145" s="59" t="str">
        <f>IF(AB145=1,Settings!$B$2-Clean_Data!N145+ROW()/100000,"")</f>
        <v/>
      </c>
      <c r="AE145" s="59" t="str">
        <f>IF(AC145=1,Clean_Data!U145+ROW()/100000,"")</f>
        <v/>
      </c>
      <c r="AF145" s="59" t="str">
        <f>IF(Clean_Data!A145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145)))&gt;0,1,0))</f>
        <v/>
      </c>
      <c r="AG145" s="59" t="str">
        <f>IF(Clean_Data!A145="","",IF(SUMPRODUCT(--ISNUMBER(SEARCH({"DATE_ORDER","DATE_FUTURE","FOLLOWUP_BEFORE"},Clean_Data!S145)))&gt;0,1,0))</f>
        <v/>
      </c>
    </row>
    <row r="146" spans="27:33" x14ac:dyDescent="0.35">
      <c r="AA146" s="59" t="str">
        <f>IF(Clean_Data!A146="","",IFERROR(INDEX($D$7:$D$13,MATCH(Clean_Data!J146,$A$7:$A$13,0)),0))</f>
        <v/>
      </c>
      <c r="AB146" s="59" t="str">
        <f>IF(Clean_Data!A146="","",IF(AND(AA146=1,Clean_Data!V146="Yes"),1,0))</f>
        <v/>
      </c>
      <c r="AC146" s="59" t="str">
        <f>IF(Clean_Data!A146="","",IF(Clean_Data!W146="Yes",1,0))</f>
        <v/>
      </c>
      <c r="AD146" s="59" t="str">
        <f>IF(AB146=1,Settings!$B$2-Clean_Data!N146+ROW()/100000,"")</f>
        <v/>
      </c>
      <c r="AE146" s="59" t="str">
        <f>IF(AC146=1,Clean_Data!U146+ROW()/100000,"")</f>
        <v/>
      </c>
      <c r="AF146" s="59" t="str">
        <f>IF(Clean_Data!A146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146)))&gt;0,1,0))</f>
        <v/>
      </c>
      <c r="AG146" s="59" t="str">
        <f>IF(Clean_Data!A146="","",IF(SUMPRODUCT(--ISNUMBER(SEARCH({"DATE_ORDER","DATE_FUTURE","FOLLOWUP_BEFORE"},Clean_Data!S146)))&gt;0,1,0))</f>
        <v/>
      </c>
    </row>
    <row r="147" spans="27:33" x14ac:dyDescent="0.35">
      <c r="AA147" s="59" t="str">
        <f>IF(Clean_Data!A147="","",IFERROR(INDEX($D$7:$D$13,MATCH(Clean_Data!J147,$A$7:$A$13,0)),0))</f>
        <v/>
      </c>
      <c r="AB147" s="59" t="str">
        <f>IF(Clean_Data!A147="","",IF(AND(AA147=1,Clean_Data!V147="Yes"),1,0))</f>
        <v/>
      </c>
      <c r="AC147" s="59" t="str">
        <f>IF(Clean_Data!A147="","",IF(Clean_Data!W147="Yes",1,0))</f>
        <v/>
      </c>
      <c r="AD147" s="59" t="str">
        <f>IF(AB147=1,Settings!$B$2-Clean_Data!N147+ROW()/100000,"")</f>
        <v/>
      </c>
      <c r="AE147" s="59" t="str">
        <f>IF(AC147=1,Clean_Data!U147+ROW()/100000,"")</f>
        <v/>
      </c>
      <c r="AF147" s="59" t="str">
        <f>IF(Clean_Data!A147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147)))&gt;0,1,0))</f>
        <v/>
      </c>
      <c r="AG147" s="59" t="str">
        <f>IF(Clean_Data!A147="","",IF(SUMPRODUCT(--ISNUMBER(SEARCH({"DATE_ORDER","DATE_FUTURE","FOLLOWUP_BEFORE"},Clean_Data!S147)))&gt;0,1,0))</f>
        <v/>
      </c>
    </row>
    <row r="148" spans="27:33" x14ac:dyDescent="0.35">
      <c r="AA148" s="59" t="str">
        <f>IF(Clean_Data!A148="","",IFERROR(INDEX($D$7:$D$13,MATCH(Clean_Data!J148,$A$7:$A$13,0)),0))</f>
        <v/>
      </c>
      <c r="AB148" s="59" t="str">
        <f>IF(Clean_Data!A148="","",IF(AND(AA148=1,Clean_Data!V148="Yes"),1,0))</f>
        <v/>
      </c>
      <c r="AC148" s="59" t="str">
        <f>IF(Clean_Data!A148="","",IF(Clean_Data!W148="Yes",1,0))</f>
        <v/>
      </c>
      <c r="AD148" s="59" t="str">
        <f>IF(AB148=1,Settings!$B$2-Clean_Data!N148+ROW()/100000,"")</f>
        <v/>
      </c>
      <c r="AE148" s="59" t="str">
        <f>IF(AC148=1,Clean_Data!U148+ROW()/100000,"")</f>
        <v/>
      </c>
      <c r="AF148" s="59" t="str">
        <f>IF(Clean_Data!A148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148)))&gt;0,1,0))</f>
        <v/>
      </c>
      <c r="AG148" s="59" t="str">
        <f>IF(Clean_Data!A148="","",IF(SUMPRODUCT(--ISNUMBER(SEARCH({"DATE_ORDER","DATE_FUTURE","FOLLOWUP_BEFORE"},Clean_Data!S148)))&gt;0,1,0))</f>
        <v/>
      </c>
    </row>
    <row r="149" spans="27:33" x14ac:dyDescent="0.35">
      <c r="AA149" s="59" t="str">
        <f>IF(Clean_Data!A149="","",IFERROR(INDEX($D$7:$D$13,MATCH(Clean_Data!J149,$A$7:$A$13,0)),0))</f>
        <v/>
      </c>
      <c r="AB149" s="59" t="str">
        <f>IF(Clean_Data!A149="","",IF(AND(AA149=1,Clean_Data!V149="Yes"),1,0))</f>
        <v/>
      </c>
      <c r="AC149" s="59" t="str">
        <f>IF(Clean_Data!A149="","",IF(Clean_Data!W149="Yes",1,0))</f>
        <v/>
      </c>
      <c r="AD149" s="59" t="str">
        <f>IF(AB149=1,Settings!$B$2-Clean_Data!N149+ROW()/100000,"")</f>
        <v/>
      </c>
      <c r="AE149" s="59" t="str">
        <f>IF(AC149=1,Clean_Data!U149+ROW()/100000,"")</f>
        <v/>
      </c>
      <c r="AF149" s="59" t="str">
        <f>IF(Clean_Data!A149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149)))&gt;0,1,0))</f>
        <v/>
      </c>
      <c r="AG149" s="59" t="str">
        <f>IF(Clean_Data!A149="","",IF(SUMPRODUCT(--ISNUMBER(SEARCH({"DATE_ORDER","DATE_FUTURE","FOLLOWUP_BEFORE"},Clean_Data!S149)))&gt;0,1,0))</f>
        <v/>
      </c>
    </row>
    <row r="150" spans="27:33" x14ac:dyDescent="0.35">
      <c r="AA150" s="59" t="str">
        <f>IF(Clean_Data!A150="","",IFERROR(INDEX($D$7:$D$13,MATCH(Clean_Data!J150,$A$7:$A$13,0)),0))</f>
        <v/>
      </c>
      <c r="AB150" s="59" t="str">
        <f>IF(Clean_Data!A150="","",IF(AND(AA150=1,Clean_Data!V150="Yes"),1,0))</f>
        <v/>
      </c>
      <c r="AC150" s="59" t="str">
        <f>IF(Clean_Data!A150="","",IF(Clean_Data!W150="Yes",1,0))</f>
        <v/>
      </c>
      <c r="AD150" s="59" t="str">
        <f>IF(AB150=1,Settings!$B$2-Clean_Data!N150+ROW()/100000,"")</f>
        <v/>
      </c>
      <c r="AE150" s="59" t="str">
        <f>IF(AC150=1,Clean_Data!U150+ROW()/100000,"")</f>
        <v/>
      </c>
      <c r="AF150" s="59" t="str">
        <f>IF(Clean_Data!A150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150)))&gt;0,1,0))</f>
        <v/>
      </c>
      <c r="AG150" s="59" t="str">
        <f>IF(Clean_Data!A150="","",IF(SUMPRODUCT(--ISNUMBER(SEARCH({"DATE_ORDER","DATE_FUTURE","FOLLOWUP_BEFORE"},Clean_Data!S150)))&gt;0,1,0))</f>
        <v/>
      </c>
    </row>
    <row r="151" spans="27:33" x14ac:dyDescent="0.35">
      <c r="AA151" s="59" t="str">
        <f>IF(Clean_Data!A151="","",IFERROR(INDEX($D$7:$D$13,MATCH(Clean_Data!J151,$A$7:$A$13,0)),0))</f>
        <v/>
      </c>
      <c r="AB151" s="59" t="str">
        <f>IF(Clean_Data!A151="","",IF(AND(AA151=1,Clean_Data!V151="Yes"),1,0))</f>
        <v/>
      </c>
      <c r="AC151" s="59" t="str">
        <f>IF(Clean_Data!A151="","",IF(Clean_Data!W151="Yes",1,0))</f>
        <v/>
      </c>
      <c r="AD151" s="59" t="str">
        <f>IF(AB151=1,Settings!$B$2-Clean_Data!N151+ROW()/100000,"")</f>
        <v/>
      </c>
      <c r="AE151" s="59" t="str">
        <f>IF(AC151=1,Clean_Data!U151+ROW()/100000,"")</f>
        <v/>
      </c>
      <c r="AF151" s="59" t="str">
        <f>IF(Clean_Data!A151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151)))&gt;0,1,0))</f>
        <v/>
      </c>
      <c r="AG151" s="59" t="str">
        <f>IF(Clean_Data!A151="","",IF(SUMPRODUCT(--ISNUMBER(SEARCH({"DATE_ORDER","DATE_FUTURE","FOLLOWUP_BEFORE"},Clean_Data!S151)))&gt;0,1,0))</f>
        <v/>
      </c>
    </row>
    <row r="152" spans="27:33" x14ac:dyDescent="0.35">
      <c r="AA152" s="59" t="str">
        <f>IF(Clean_Data!A152="","",IFERROR(INDEX($D$7:$D$13,MATCH(Clean_Data!J152,$A$7:$A$13,0)),0))</f>
        <v/>
      </c>
      <c r="AB152" s="59" t="str">
        <f>IF(Clean_Data!A152="","",IF(AND(AA152=1,Clean_Data!V152="Yes"),1,0))</f>
        <v/>
      </c>
      <c r="AC152" s="59" t="str">
        <f>IF(Clean_Data!A152="","",IF(Clean_Data!W152="Yes",1,0))</f>
        <v/>
      </c>
      <c r="AD152" s="59" t="str">
        <f>IF(AB152=1,Settings!$B$2-Clean_Data!N152+ROW()/100000,"")</f>
        <v/>
      </c>
      <c r="AE152" s="59" t="str">
        <f>IF(AC152=1,Clean_Data!U152+ROW()/100000,"")</f>
        <v/>
      </c>
      <c r="AF152" s="59" t="str">
        <f>IF(Clean_Data!A152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152)))&gt;0,1,0))</f>
        <v/>
      </c>
      <c r="AG152" s="59" t="str">
        <f>IF(Clean_Data!A152="","",IF(SUMPRODUCT(--ISNUMBER(SEARCH({"DATE_ORDER","DATE_FUTURE","FOLLOWUP_BEFORE"},Clean_Data!S152)))&gt;0,1,0))</f>
        <v/>
      </c>
    </row>
    <row r="153" spans="27:33" x14ac:dyDescent="0.35">
      <c r="AA153" s="59" t="str">
        <f>IF(Clean_Data!A153="","",IFERROR(INDEX($D$7:$D$13,MATCH(Clean_Data!J153,$A$7:$A$13,0)),0))</f>
        <v/>
      </c>
      <c r="AB153" s="59" t="str">
        <f>IF(Clean_Data!A153="","",IF(AND(AA153=1,Clean_Data!V153="Yes"),1,0))</f>
        <v/>
      </c>
      <c r="AC153" s="59" t="str">
        <f>IF(Clean_Data!A153="","",IF(Clean_Data!W153="Yes",1,0))</f>
        <v/>
      </c>
      <c r="AD153" s="59" t="str">
        <f>IF(AB153=1,Settings!$B$2-Clean_Data!N153+ROW()/100000,"")</f>
        <v/>
      </c>
      <c r="AE153" s="59" t="str">
        <f>IF(AC153=1,Clean_Data!U153+ROW()/100000,"")</f>
        <v/>
      </c>
      <c r="AF153" s="59" t="str">
        <f>IF(Clean_Data!A153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153)))&gt;0,1,0))</f>
        <v/>
      </c>
      <c r="AG153" s="59" t="str">
        <f>IF(Clean_Data!A153="","",IF(SUMPRODUCT(--ISNUMBER(SEARCH({"DATE_ORDER","DATE_FUTURE","FOLLOWUP_BEFORE"},Clean_Data!S153)))&gt;0,1,0))</f>
        <v/>
      </c>
    </row>
    <row r="154" spans="27:33" x14ac:dyDescent="0.35">
      <c r="AA154" s="59" t="str">
        <f>IF(Clean_Data!A154="","",IFERROR(INDEX($D$7:$D$13,MATCH(Clean_Data!J154,$A$7:$A$13,0)),0))</f>
        <v/>
      </c>
      <c r="AB154" s="59" t="str">
        <f>IF(Clean_Data!A154="","",IF(AND(AA154=1,Clean_Data!V154="Yes"),1,0))</f>
        <v/>
      </c>
      <c r="AC154" s="59" t="str">
        <f>IF(Clean_Data!A154="","",IF(Clean_Data!W154="Yes",1,0))</f>
        <v/>
      </c>
      <c r="AD154" s="59" t="str">
        <f>IF(AB154=1,Settings!$B$2-Clean_Data!N154+ROW()/100000,"")</f>
        <v/>
      </c>
      <c r="AE154" s="59" t="str">
        <f>IF(AC154=1,Clean_Data!U154+ROW()/100000,"")</f>
        <v/>
      </c>
      <c r="AF154" s="59" t="str">
        <f>IF(Clean_Data!A154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154)))&gt;0,1,0))</f>
        <v/>
      </c>
      <c r="AG154" s="59" t="str">
        <f>IF(Clean_Data!A154="","",IF(SUMPRODUCT(--ISNUMBER(SEARCH({"DATE_ORDER","DATE_FUTURE","FOLLOWUP_BEFORE"},Clean_Data!S154)))&gt;0,1,0))</f>
        <v/>
      </c>
    </row>
    <row r="155" spans="27:33" x14ac:dyDescent="0.35">
      <c r="AA155" s="59" t="str">
        <f>IF(Clean_Data!A155="","",IFERROR(INDEX($D$7:$D$13,MATCH(Clean_Data!J155,$A$7:$A$13,0)),0))</f>
        <v/>
      </c>
      <c r="AB155" s="59" t="str">
        <f>IF(Clean_Data!A155="","",IF(AND(AA155=1,Clean_Data!V155="Yes"),1,0))</f>
        <v/>
      </c>
      <c r="AC155" s="59" t="str">
        <f>IF(Clean_Data!A155="","",IF(Clean_Data!W155="Yes",1,0))</f>
        <v/>
      </c>
      <c r="AD155" s="59" t="str">
        <f>IF(AB155=1,Settings!$B$2-Clean_Data!N155+ROW()/100000,"")</f>
        <v/>
      </c>
      <c r="AE155" s="59" t="str">
        <f>IF(AC155=1,Clean_Data!U155+ROW()/100000,"")</f>
        <v/>
      </c>
      <c r="AF155" s="59" t="str">
        <f>IF(Clean_Data!A155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155)))&gt;0,1,0))</f>
        <v/>
      </c>
      <c r="AG155" s="59" t="str">
        <f>IF(Clean_Data!A155="","",IF(SUMPRODUCT(--ISNUMBER(SEARCH({"DATE_ORDER","DATE_FUTURE","FOLLOWUP_BEFORE"},Clean_Data!S155)))&gt;0,1,0))</f>
        <v/>
      </c>
    </row>
    <row r="156" spans="27:33" x14ac:dyDescent="0.35">
      <c r="AA156" s="59" t="str">
        <f>IF(Clean_Data!A156="","",IFERROR(INDEX($D$7:$D$13,MATCH(Clean_Data!J156,$A$7:$A$13,0)),0))</f>
        <v/>
      </c>
      <c r="AB156" s="59" t="str">
        <f>IF(Clean_Data!A156="","",IF(AND(AA156=1,Clean_Data!V156="Yes"),1,0))</f>
        <v/>
      </c>
      <c r="AC156" s="59" t="str">
        <f>IF(Clean_Data!A156="","",IF(Clean_Data!W156="Yes",1,0))</f>
        <v/>
      </c>
      <c r="AD156" s="59" t="str">
        <f>IF(AB156=1,Settings!$B$2-Clean_Data!N156+ROW()/100000,"")</f>
        <v/>
      </c>
      <c r="AE156" s="59" t="str">
        <f>IF(AC156=1,Clean_Data!U156+ROW()/100000,"")</f>
        <v/>
      </c>
      <c r="AF156" s="59" t="str">
        <f>IF(Clean_Data!A156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156)))&gt;0,1,0))</f>
        <v/>
      </c>
      <c r="AG156" s="59" t="str">
        <f>IF(Clean_Data!A156="","",IF(SUMPRODUCT(--ISNUMBER(SEARCH({"DATE_ORDER","DATE_FUTURE","FOLLOWUP_BEFORE"},Clean_Data!S156)))&gt;0,1,0))</f>
        <v/>
      </c>
    </row>
    <row r="157" spans="27:33" x14ac:dyDescent="0.35">
      <c r="AA157" s="59" t="str">
        <f>IF(Clean_Data!A157="","",IFERROR(INDEX($D$7:$D$13,MATCH(Clean_Data!J157,$A$7:$A$13,0)),0))</f>
        <v/>
      </c>
      <c r="AB157" s="59" t="str">
        <f>IF(Clean_Data!A157="","",IF(AND(AA157=1,Clean_Data!V157="Yes"),1,0))</f>
        <v/>
      </c>
      <c r="AC157" s="59" t="str">
        <f>IF(Clean_Data!A157="","",IF(Clean_Data!W157="Yes",1,0))</f>
        <v/>
      </c>
      <c r="AD157" s="59" t="str">
        <f>IF(AB157=1,Settings!$B$2-Clean_Data!N157+ROW()/100000,"")</f>
        <v/>
      </c>
      <c r="AE157" s="59" t="str">
        <f>IF(AC157=1,Clean_Data!U157+ROW()/100000,"")</f>
        <v/>
      </c>
      <c r="AF157" s="59" t="str">
        <f>IF(Clean_Data!A157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157)))&gt;0,1,0))</f>
        <v/>
      </c>
      <c r="AG157" s="59" t="str">
        <f>IF(Clean_Data!A157="","",IF(SUMPRODUCT(--ISNUMBER(SEARCH({"DATE_ORDER","DATE_FUTURE","FOLLOWUP_BEFORE"},Clean_Data!S157)))&gt;0,1,0))</f>
        <v/>
      </c>
    </row>
    <row r="158" spans="27:33" x14ac:dyDescent="0.35">
      <c r="AA158" s="59" t="str">
        <f>IF(Clean_Data!A158="","",IFERROR(INDEX($D$7:$D$13,MATCH(Clean_Data!J158,$A$7:$A$13,0)),0))</f>
        <v/>
      </c>
      <c r="AB158" s="59" t="str">
        <f>IF(Clean_Data!A158="","",IF(AND(AA158=1,Clean_Data!V158="Yes"),1,0))</f>
        <v/>
      </c>
      <c r="AC158" s="59" t="str">
        <f>IF(Clean_Data!A158="","",IF(Clean_Data!W158="Yes",1,0))</f>
        <v/>
      </c>
      <c r="AD158" s="59" t="str">
        <f>IF(AB158=1,Settings!$B$2-Clean_Data!N158+ROW()/100000,"")</f>
        <v/>
      </c>
      <c r="AE158" s="59" t="str">
        <f>IF(AC158=1,Clean_Data!U158+ROW()/100000,"")</f>
        <v/>
      </c>
      <c r="AF158" s="59" t="str">
        <f>IF(Clean_Data!A158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158)))&gt;0,1,0))</f>
        <v/>
      </c>
      <c r="AG158" s="59" t="str">
        <f>IF(Clean_Data!A158="","",IF(SUMPRODUCT(--ISNUMBER(SEARCH({"DATE_ORDER","DATE_FUTURE","FOLLOWUP_BEFORE"},Clean_Data!S158)))&gt;0,1,0))</f>
        <v/>
      </c>
    </row>
    <row r="159" spans="27:33" x14ac:dyDescent="0.35">
      <c r="AA159" s="59" t="str">
        <f>IF(Clean_Data!A159="","",IFERROR(INDEX($D$7:$D$13,MATCH(Clean_Data!J159,$A$7:$A$13,0)),0))</f>
        <v/>
      </c>
      <c r="AB159" s="59" t="str">
        <f>IF(Clean_Data!A159="","",IF(AND(AA159=1,Clean_Data!V159="Yes"),1,0))</f>
        <v/>
      </c>
      <c r="AC159" s="59" t="str">
        <f>IF(Clean_Data!A159="","",IF(Clean_Data!W159="Yes",1,0))</f>
        <v/>
      </c>
      <c r="AD159" s="59" t="str">
        <f>IF(AB159=1,Settings!$B$2-Clean_Data!N159+ROW()/100000,"")</f>
        <v/>
      </c>
      <c r="AE159" s="59" t="str">
        <f>IF(AC159=1,Clean_Data!U159+ROW()/100000,"")</f>
        <v/>
      </c>
      <c r="AF159" s="59" t="str">
        <f>IF(Clean_Data!A159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159)))&gt;0,1,0))</f>
        <v/>
      </c>
      <c r="AG159" s="59" t="str">
        <f>IF(Clean_Data!A159="","",IF(SUMPRODUCT(--ISNUMBER(SEARCH({"DATE_ORDER","DATE_FUTURE","FOLLOWUP_BEFORE"},Clean_Data!S159)))&gt;0,1,0))</f>
        <v/>
      </c>
    </row>
    <row r="160" spans="27:33" x14ac:dyDescent="0.35">
      <c r="AA160" s="59" t="str">
        <f>IF(Clean_Data!A160="","",IFERROR(INDEX($D$7:$D$13,MATCH(Clean_Data!J160,$A$7:$A$13,0)),0))</f>
        <v/>
      </c>
      <c r="AB160" s="59" t="str">
        <f>IF(Clean_Data!A160="","",IF(AND(AA160=1,Clean_Data!V160="Yes"),1,0))</f>
        <v/>
      </c>
      <c r="AC160" s="59" t="str">
        <f>IF(Clean_Data!A160="","",IF(Clean_Data!W160="Yes",1,0))</f>
        <v/>
      </c>
      <c r="AD160" s="59" t="str">
        <f>IF(AB160=1,Settings!$B$2-Clean_Data!N160+ROW()/100000,"")</f>
        <v/>
      </c>
      <c r="AE160" s="59" t="str">
        <f>IF(AC160=1,Clean_Data!U160+ROW()/100000,"")</f>
        <v/>
      </c>
      <c r="AF160" s="59" t="str">
        <f>IF(Clean_Data!A160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160)))&gt;0,1,0))</f>
        <v/>
      </c>
      <c r="AG160" s="59" t="str">
        <f>IF(Clean_Data!A160="","",IF(SUMPRODUCT(--ISNUMBER(SEARCH({"DATE_ORDER","DATE_FUTURE","FOLLOWUP_BEFORE"},Clean_Data!S160)))&gt;0,1,0))</f>
        <v/>
      </c>
    </row>
    <row r="161" spans="27:33" x14ac:dyDescent="0.35">
      <c r="AA161" s="59" t="str">
        <f>IF(Clean_Data!A161="","",IFERROR(INDEX($D$7:$D$13,MATCH(Clean_Data!J161,$A$7:$A$13,0)),0))</f>
        <v/>
      </c>
      <c r="AB161" s="59" t="str">
        <f>IF(Clean_Data!A161="","",IF(AND(AA161=1,Clean_Data!V161="Yes"),1,0))</f>
        <v/>
      </c>
      <c r="AC161" s="59" t="str">
        <f>IF(Clean_Data!A161="","",IF(Clean_Data!W161="Yes",1,0))</f>
        <v/>
      </c>
      <c r="AD161" s="59" t="str">
        <f>IF(AB161=1,Settings!$B$2-Clean_Data!N161+ROW()/100000,"")</f>
        <v/>
      </c>
      <c r="AE161" s="59" t="str">
        <f>IF(AC161=1,Clean_Data!U161+ROW()/100000,"")</f>
        <v/>
      </c>
      <c r="AF161" s="59" t="str">
        <f>IF(Clean_Data!A161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161)))&gt;0,1,0))</f>
        <v/>
      </c>
      <c r="AG161" s="59" t="str">
        <f>IF(Clean_Data!A161="","",IF(SUMPRODUCT(--ISNUMBER(SEARCH({"DATE_ORDER","DATE_FUTURE","FOLLOWUP_BEFORE"},Clean_Data!S161)))&gt;0,1,0))</f>
        <v/>
      </c>
    </row>
    <row r="162" spans="27:33" x14ac:dyDescent="0.35">
      <c r="AA162" s="59" t="str">
        <f>IF(Clean_Data!A162="","",IFERROR(INDEX($D$7:$D$13,MATCH(Clean_Data!J162,$A$7:$A$13,0)),0))</f>
        <v/>
      </c>
      <c r="AB162" s="59" t="str">
        <f>IF(Clean_Data!A162="","",IF(AND(AA162=1,Clean_Data!V162="Yes"),1,0))</f>
        <v/>
      </c>
      <c r="AC162" s="59" t="str">
        <f>IF(Clean_Data!A162="","",IF(Clean_Data!W162="Yes",1,0))</f>
        <v/>
      </c>
      <c r="AD162" s="59" t="str">
        <f>IF(AB162=1,Settings!$B$2-Clean_Data!N162+ROW()/100000,"")</f>
        <v/>
      </c>
      <c r="AE162" s="59" t="str">
        <f>IF(AC162=1,Clean_Data!U162+ROW()/100000,"")</f>
        <v/>
      </c>
      <c r="AF162" s="59" t="str">
        <f>IF(Clean_Data!A162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162)))&gt;0,1,0))</f>
        <v/>
      </c>
      <c r="AG162" s="59" t="str">
        <f>IF(Clean_Data!A162="","",IF(SUMPRODUCT(--ISNUMBER(SEARCH({"DATE_ORDER","DATE_FUTURE","FOLLOWUP_BEFORE"},Clean_Data!S162)))&gt;0,1,0))</f>
        <v/>
      </c>
    </row>
    <row r="163" spans="27:33" x14ac:dyDescent="0.35">
      <c r="AA163" s="59" t="str">
        <f>IF(Clean_Data!A163="","",IFERROR(INDEX($D$7:$D$13,MATCH(Clean_Data!J163,$A$7:$A$13,0)),0))</f>
        <v/>
      </c>
      <c r="AB163" s="59" t="str">
        <f>IF(Clean_Data!A163="","",IF(AND(AA163=1,Clean_Data!V163="Yes"),1,0))</f>
        <v/>
      </c>
      <c r="AC163" s="59" t="str">
        <f>IF(Clean_Data!A163="","",IF(Clean_Data!W163="Yes",1,0))</f>
        <v/>
      </c>
      <c r="AD163" s="59" t="str">
        <f>IF(AB163=1,Settings!$B$2-Clean_Data!N163+ROW()/100000,"")</f>
        <v/>
      </c>
      <c r="AE163" s="59" t="str">
        <f>IF(AC163=1,Clean_Data!U163+ROW()/100000,"")</f>
        <v/>
      </c>
      <c r="AF163" s="59" t="str">
        <f>IF(Clean_Data!A163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163)))&gt;0,1,0))</f>
        <v/>
      </c>
      <c r="AG163" s="59" t="str">
        <f>IF(Clean_Data!A163="","",IF(SUMPRODUCT(--ISNUMBER(SEARCH({"DATE_ORDER","DATE_FUTURE","FOLLOWUP_BEFORE"},Clean_Data!S163)))&gt;0,1,0))</f>
        <v/>
      </c>
    </row>
    <row r="164" spans="27:33" x14ac:dyDescent="0.35">
      <c r="AA164" s="59" t="str">
        <f>IF(Clean_Data!A164="","",IFERROR(INDEX($D$7:$D$13,MATCH(Clean_Data!J164,$A$7:$A$13,0)),0))</f>
        <v/>
      </c>
      <c r="AB164" s="59" t="str">
        <f>IF(Clean_Data!A164="","",IF(AND(AA164=1,Clean_Data!V164="Yes"),1,0))</f>
        <v/>
      </c>
      <c r="AC164" s="59" t="str">
        <f>IF(Clean_Data!A164="","",IF(Clean_Data!W164="Yes",1,0))</f>
        <v/>
      </c>
      <c r="AD164" s="59" t="str">
        <f>IF(AB164=1,Settings!$B$2-Clean_Data!N164+ROW()/100000,"")</f>
        <v/>
      </c>
      <c r="AE164" s="59" t="str">
        <f>IF(AC164=1,Clean_Data!U164+ROW()/100000,"")</f>
        <v/>
      </c>
      <c r="AF164" s="59" t="str">
        <f>IF(Clean_Data!A164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164)))&gt;0,1,0))</f>
        <v/>
      </c>
      <c r="AG164" s="59" t="str">
        <f>IF(Clean_Data!A164="","",IF(SUMPRODUCT(--ISNUMBER(SEARCH({"DATE_ORDER","DATE_FUTURE","FOLLOWUP_BEFORE"},Clean_Data!S164)))&gt;0,1,0))</f>
        <v/>
      </c>
    </row>
    <row r="165" spans="27:33" x14ac:dyDescent="0.35">
      <c r="AA165" s="59" t="str">
        <f>IF(Clean_Data!A165="","",IFERROR(INDEX($D$7:$D$13,MATCH(Clean_Data!J165,$A$7:$A$13,0)),0))</f>
        <v/>
      </c>
      <c r="AB165" s="59" t="str">
        <f>IF(Clean_Data!A165="","",IF(AND(AA165=1,Clean_Data!V165="Yes"),1,0))</f>
        <v/>
      </c>
      <c r="AC165" s="59" t="str">
        <f>IF(Clean_Data!A165="","",IF(Clean_Data!W165="Yes",1,0))</f>
        <v/>
      </c>
      <c r="AD165" s="59" t="str">
        <f>IF(AB165=1,Settings!$B$2-Clean_Data!N165+ROW()/100000,"")</f>
        <v/>
      </c>
      <c r="AE165" s="59" t="str">
        <f>IF(AC165=1,Clean_Data!U165+ROW()/100000,"")</f>
        <v/>
      </c>
      <c r="AF165" s="59" t="str">
        <f>IF(Clean_Data!A165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165)))&gt;0,1,0))</f>
        <v/>
      </c>
      <c r="AG165" s="59" t="str">
        <f>IF(Clean_Data!A165="","",IF(SUMPRODUCT(--ISNUMBER(SEARCH({"DATE_ORDER","DATE_FUTURE","FOLLOWUP_BEFORE"},Clean_Data!S165)))&gt;0,1,0))</f>
        <v/>
      </c>
    </row>
    <row r="166" spans="27:33" x14ac:dyDescent="0.35">
      <c r="AA166" s="59" t="str">
        <f>IF(Clean_Data!A166="","",IFERROR(INDEX($D$7:$D$13,MATCH(Clean_Data!J166,$A$7:$A$13,0)),0))</f>
        <v/>
      </c>
      <c r="AB166" s="59" t="str">
        <f>IF(Clean_Data!A166="","",IF(AND(AA166=1,Clean_Data!V166="Yes"),1,0))</f>
        <v/>
      </c>
      <c r="AC166" s="59" t="str">
        <f>IF(Clean_Data!A166="","",IF(Clean_Data!W166="Yes",1,0))</f>
        <v/>
      </c>
      <c r="AD166" s="59" t="str">
        <f>IF(AB166=1,Settings!$B$2-Clean_Data!N166+ROW()/100000,"")</f>
        <v/>
      </c>
      <c r="AE166" s="59" t="str">
        <f>IF(AC166=1,Clean_Data!U166+ROW()/100000,"")</f>
        <v/>
      </c>
      <c r="AF166" s="59" t="str">
        <f>IF(Clean_Data!A166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166)))&gt;0,1,0))</f>
        <v/>
      </c>
      <c r="AG166" s="59" t="str">
        <f>IF(Clean_Data!A166="","",IF(SUMPRODUCT(--ISNUMBER(SEARCH({"DATE_ORDER","DATE_FUTURE","FOLLOWUP_BEFORE"},Clean_Data!S166)))&gt;0,1,0))</f>
        <v/>
      </c>
    </row>
    <row r="167" spans="27:33" x14ac:dyDescent="0.35">
      <c r="AA167" s="59" t="str">
        <f>IF(Clean_Data!A167="","",IFERROR(INDEX($D$7:$D$13,MATCH(Clean_Data!J167,$A$7:$A$13,0)),0))</f>
        <v/>
      </c>
      <c r="AB167" s="59" t="str">
        <f>IF(Clean_Data!A167="","",IF(AND(AA167=1,Clean_Data!V167="Yes"),1,0))</f>
        <v/>
      </c>
      <c r="AC167" s="59" t="str">
        <f>IF(Clean_Data!A167="","",IF(Clean_Data!W167="Yes",1,0))</f>
        <v/>
      </c>
      <c r="AD167" s="59" t="str">
        <f>IF(AB167=1,Settings!$B$2-Clean_Data!N167+ROW()/100000,"")</f>
        <v/>
      </c>
      <c r="AE167" s="59" t="str">
        <f>IF(AC167=1,Clean_Data!U167+ROW()/100000,"")</f>
        <v/>
      </c>
      <c r="AF167" s="59" t="str">
        <f>IF(Clean_Data!A167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167)))&gt;0,1,0))</f>
        <v/>
      </c>
      <c r="AG167" s="59" t="str">
        <f>IF(Clean_Data!A167="","",IF(SUMPRODUCT(--ISNUMBER(SEARCH({"DATE_ORDER","DATE_FUTURE","FOLLOWUP_BEFORE"},Clean_Data!S167)))&gt;0,1,0))</f>
        <v/>
      </c>
    </row>
    <row r="168" spans="27:33" x14ac:dyDescent="0.35">
      <c r="AA168" s="59" t="str">
        <f>IF(Clean_Data!A168="","",IFERROR(INDEX($D$7:$D$13,MATCH(Clean_Data!J168,$A$7:$A$13,0)),0))</f>
        <v/>
      </c>
      <c r="AB168" s="59" t="str">
        <f>IF(Clean_Data!A168="","",IF(AND(AA168=1,Clean_Data!V168="Yes"),1,0))</f>
        <v/>
      </c>
      <c r="AC168" s="59" t="str">
        <f>IF(Clean_Data!A168="","",IF(Clean_Data!W168="Yes",1,0))</f>
        <v/>
      </c>
      <c r="AD168" s="59" t="str">
        <f>IF(AB168=1,Settings!$B$2-Clean_Data!N168+ROW()/100000,"")</f>
        <v/>
      </c>
      <c r="AE168" s="59" t="str">
        <f>IF(AC168=1,Clean_Data!U168+ROW()/100000,"")</f>
        <v/>
      </c>
      <c r="AF168" s="59" t="str">
        <f>IF(Clean_Data!A168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168)))&gt;0,1,0))</f>
        <v/>
      </c>
      <c r="AG168" s="59" t="str">
        <f>IF(Clean_Data!A168="","",IF(SUMPRODUCT(--ISNUMBER(SEARCH({"DATE_ORDER","DATE_FUTURE","FOLLOWUP_BEFORE"},Clean_Data!S168)))&gt;0,1,0))</f>
        <v/>
      </c>
    </row>
    <row r="169" spans="27:33" x14ac:dyDescent="0.35">
      <c r="AA169" s="59" t="str">
        <f>IF(Clean_Data!A169="","",IFERROR(INDEX($D$7:$D$13,MATCH(Clean_Data!J169,$A$7:$A$13,0)),0))</f>
        <v/>
      </c>
      <c r="AB169" s="59" t="str">
        <f>IF(Clean_Data!A169="","",IF(AND(AA169=1,Clean_Data!V169="Yes"),1,0))</f>
        <v/>
      </c>
      <c r="AC169" s="59" t="str">
        <f>IF(Clean_Data!A169="","",IF(Clean_Data!W169="Yes",1,0))</f>
        <v/>
      </c>
      <c r="AD169" s="59" t="str">
        <f>IF(AB169=1,Settings!$B$2-Clean_Data!N169+ROW()/100000,"")</f>
        <v/>
      </c>
      <c r="AE169" s="59" t="str">
        <f>IF(AC169=1,Clean_Data!U169+ROW()/100000,"")</f>
        <v/>
      </c>
      <c r="AF169" s="59" t="str">
        <f>IF(Clean_Data!A169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169)))&gt;0,1,0))</f>
        <v/>
      </c>
      <c r="AG169" s="59" t="str">
        <f>IF(Clean_Data!A169="","",IF(SUMPRODUCT(--ISNUMBER(SEARCH({"DATE_ORDER","DATE_FUTURE","FOLLOWUP_BEFORE"},Clean_Data!S169)))&gt;0,1,0))</f>
        <v/>
      </c>
    </row>
    <row r="170" spans="27:33" x14ac:dyDescent="0.35">
      <c r="AA170" s="59" t="str">
        <f>IF(Clean_Data!A170="","",IFERROR(INDEX($D$7:$D$13,MATCH(Clean_Data!J170,$A$7:$A$13,0)),0))</f>
        <v/>
      </c>
      <c r="AB170" s="59" t="str">
        <f>IF(Clean_Data!A170="","",IF(AND(AA170=1,Clean_Data!V170="Yes"),1,0))</f>
        <v/>
      </c>
      <c r="AC170" s="59" t="str">
        <f>IF(Clean_Data!A170="","",IF(Clean_Data!W170="Yes",1,0))</f>
        <v/>
      </c>
      <c r="AD170" s="59" t="str">
        <f>IF(AB170=1,Settings!$B$2-Clean_Data!N170+ROW()/100000,"")</f>
        <v/>
      </c>
      <c r="AE170" s="59" t="str">
        <f>IF(AC170=1,Clean_Data!U170+ROW()/100000,"")</f>
        <v/>
      </c>
      <c r="AF170" s="59" t="str">
        <f>IF(Clean_Data!A170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170)))&gt;0,1,0))</f>
        <v/>
      </c>
      <c r="AG170" s="59" t="str">
        <f>IF(Clean_Data!A170="","",IF(SUMPRODUCT(--ISNUMBER(SEARCH({"DATE_ORDER","DATE_FUTURE","FOLLOWUP_BEFORE"},Clean_Data!S170)))&gt;0,1,0))</f>
        <v/>
      </c>
    </row>
    <row r="171" spans="27:33" x14ac:dyDescent="0.35">
      <c r="AA171" s="59" t="str">
        <f>IF(Clean_Data!A171="","",IFERROR(INDEX($D$7:$D$13,MATCH(Clean_Data!J171,$A$7:$A$13,0)),0))</f>
        <v/>
      </c>
      <c r="AB171" s="59" t="str">
        <f>IF(Clean_Data!A171="","",IF(AND(AA171=1,Clean_Data!V171="Yes"),1,0))</f>
        <v/>
      </c>
      <c r="AC171" s="59" t="str">
        <f>IF(Clean_Data!A171="","",IF(Clean_Data!W171="Yes",1,0))</f>
        <v/>
      </c>
      <c r="AD171" s="59" t="str">
        <f>IF(AB171=1,Settings!$B$2-Clean_Data!N171+ROW()/100000,"")</f>
        <v/>
      </c>
      <c r="AE171" s="59" t="str">
        <f>IF(AC171=1,Clean_Data!U171+ROW()/100000,"")</f>
        <v/>
      </c>
      <c r="AF171" s="59" t="str">
        <f>IF(Clean_Data!A171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171)))&gt;0,1,0))</f>
        <v/>
      </c>
      <c r="AG171" s="59" t="str">
        <f>IF(Clean_Data!A171="","",IF(SUMPRODUCT(--ISNUMBER(SEARCH({"DATE_ORDER","DATE_FUTURE","FOLLOWUP_BEFORE"},Clean_Data!S171)))&gt;0,1,0))</f>
        <v/>
      </c>
    </row>
    <row r="172" spans="27:33" x14ac:dyDescent="0.35">
      <c r="AA172" s="59" t="str">
        <f>IF(Clean_Data!A172="","",IFERROR(INDEX($D$7:$D$13,MATCH(Clean_Data!J172,$A$7:$A$13,0)),0))</f>
        <v/>
      </c>
      <c r="AB172" s="59" t="str">
        <f>IF(Clean_Data!A172="","",IF(AND(AA172=1,Clean_Data!V172="Yes"),1,0))</f>
        <v/>
      </c>
      <c r="AC172" s="59" t="str">
        <f>IF(Clean_Data!A172="","",IF(Clean_Data!W172="Yes",1,0))</f>
        <v/>
      </c>
      <c r="AD172" s="59" t="str">
        <f>IF(AB172=1,Settings!$B$2-Clean_Data!N172+ROW()/100000,"")</f>
        <v/>
      </c>
      <c r="AE172" s="59" t="str">
        <f>IF(AC172=1,Clean_Data!U172+ROW()/100000,"")</f>
        <v/>
      </c>
      <c r="AF172" s="59" t="str">
        <f>IF(Clean_Data!A172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172)))&gt;0,1,0))</f>
        <v/>
      </c>
      <c r="AG172" s="59" t="str">
        <f>IF(Clean_Data!A172="","",IF(SUMPRODUCT(--ISNUMBER(SEARCH({"DATE_ORDER","DATE_FUTURE","FOLLOWUP_BEFORE"},Clean_Data!S172)))&gt;0,1,0))</f>
        <v/>
      </c>
    </row>
    <row r="173" spans="27:33" x14ac:dyDescent="0.35">
      <c r="AA173" s="59" t="str">
        <f>IF(Clean_Data!A173="","",IFERROR(INDEX($D$7:$D$13,MATCH(Clean_Data!J173,$A$7:$A$13,0)),0))</f>
        <v/>
      </c>
      <c r="AB173" s="59" t="str">
        <f>IF(Clean_Data!A173="","",IF(AND(AA173=1,Clean_Data!V173="Yes"),1,0))</f>
        <v/>
      </c>
      <c r="AC173" s="59" t="str">
        <f>IF(Clean_Data!A173="","",IF(Clean_Data!W173="Yes",1,0))</f>
        <v/>
      </c>
      <c r="AD173" s="59" t="str">
        <f>IF(AB173=1,Settings!$B$2-Clean_Data!N173+ROW()/100000,"")</f>
        <v/>
      </c>
      <c r="AE173" s="59" t="str">
        <f>IF(AC173=1,Clean_Data!U173+ROW()/100000,"")</f>
        <v/>
      </c>
      <c r="AF173" s="59" t="str">
        <f>IF(Clean_Data!A173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173)))&gt;0,1,0))</f>
        <v/>
      </c>
      <c r="AG173" s="59" t="str">
        <f>IF(Clean_Data!A173="","",IF(SUMPRODUCT(--ISNUMBER(SEARCH({"DATE_ORDER","DATE_FUTURE","FOLLOWUP_BEFORE"},Clean_Data!S173)))&gt;0,1,0))</f>
        <v/>
      </c>
    </row>
    <row r="174" spans="27:33" x14ac:dyDescent="0.35">
      <c r="AA174" s="59" t="str">
        <f>IF(Clean_Data!A174="","",IFERROR(INDEX($D$7:$D$13,MATCH(Clean_Data!J174,$A$7:$A$13,0)),0))</f>
        <v/>
      </c>
      <c r="AB174" s="59" t="str">
        <f>IF(Clean_Data!A174="","",IF(AND(AA174=1,Clean_Data!V174="Yes"),1,0))</f>
        <v/>
      </c>
      <c r="AC174" s="59" t="str">
        <f>IF(Clean_Data!A174="","",IF(Clean_Data!W174="Yes",1,0))</f>
        <v/>
      </c>
      <c r="AD174" s="59" t="str">
        <f>IF(AB174=1,Settings!$B$2-Clean_Data!N174+ROW()/100000,"")</f>
        <v/>
      </c>
      <c r="AE174" s="59" t="str">
        <f>IF(AC174=1,Clean_Data!U174+ROW()/100000,"")</f>
        <v/>
      </c>
      <c r="AF174" s="59" t="str">
        <f>IF(Clean_Data!A174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174)))&gt;0,1,0))</f>
        <v/>
      </c>
      <c r="AG174" s="59" t="str">
        <f>IF(Clean_Data!A174="","",IF(SUMPRODUCT(--ISNUMBER(SEARCH({"DATE_ORDER","DATE_FUTURE","FOLLOWUP_BEFORE"},Clean_Data!S174)))&gt;0,1,0))</f>
        <v/>
      </c>
    </row>
    <row r="175" spans="27:33" x14ac:dyDescent="0.35">
      <c r="AA175" s="59" t="str">
        <f>IF(Clean_Data!A175="","",IFERROR(INDEX($D$7:$D$13,MATCH(Clean_Data!J175,$A$7:$A$13,0)),0))</f>
        <v/>
      </c>
      <c r="AB175" s="59" t="str">
        <f>IF(Clean_Data!A175="","",IF(AND(AA175=1,Clean_Data!V175="Yes"),1,0))</f>
        <v/>
      </c>
      <c r="AC175" s="59" t="str">
        <f>IF(Clean_Data!A175="","",IF(Clean_Data!W175="Yes",1,0))</f>
        <v/>
      </c>
      <c r="AD175" s="59" t="str">
        <f>IF(AB175=1,Settings!$B$2-Clean_Data!N175+ROW()/100000,"")</f>
        <v/>
      </c>
      <c r="AE175" s="59" t="str">
        <f>IF(AC175=1,Clean_Data!U175+ROW()/100000,"")</f>
        <v/>
      </c>
      <c r="AF175" s="59" t="str">
        <f>IF(Clean_Data!A175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175)))&gt;0,1,0))</f>
        <v/>
      </c>
      <c r="AG175" s="59" t="str">
        <f>IF(Clean_Data!A175="","",IF(SUMPRODUCT(--ISNUMBER(SEARCH({"DATE_ORDER","DATE_FUTURE","FOLLOWUP_BEFORE"},Clean_Data!S175)))&gt;0,1,0))</f>
        <v/>
      </c>
    </row>
    <row r="176" spans="27:33" x14ac:dyDescent="0.35">
      <c r="AA176" s="59" t="str">
        <f>IF(Clean_Data!A176="","",IFERROR(INDEX($D$7:$D$13,MATCH(Clean_Data!J176,$A$7:$A$13,0)),0))</f>
        <v/>
      </c>
      <c r="AB176" s="59" t="str">
        <f>IF(Clean_Data!A176="","",IF(AND(AA176=1,Clean_Data!V176="Yes"),1,0))</f>
        <v/>
      </c>
      <c r="AC176" s="59" t="str">
        <f>IF(Clean_Data!A176="","",IF(Clean_Data!W176="Yes",1,0))</f>
        <v/>
      </c>
      <c r="AD176" s="59" t="str">
        <f>IF(AB176=1,Settings!$B$2-Clean_Data!N176+ROW()/100000,"")</f>
        <v/>
      </c>
      <c r="AE176" s="59" t="str">
        <f>IF(AC176=1,Clean_Data!U176+ROW()/100000,"")</f>
        <v/>
      </c>
      <c r="AF176" s="59" t="str">
        <f>IF(Clean_Data!A176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176)))&gt;0,1,0))</f>
        <v/>
      </c>
      <c r="AG176" s="59" t="str">
        <f>IF(Clean_Data!A176="","",IF(SUMPRODUCT(--ISNUMBER(SEARCH({"DATE_ORDER","DATE_FUTURE","FOLLOWUP_BEFORE"},Clean_Data!S176)))&gt;0,1,0))</f>
        <v/>
      </c>
    </row>
    <row r="177" spans="27:33" x14ac:dyDescent="0.35">
      <c r="AA177" s="59" t="str">
        <f>IF(Clean_Data!A177="","",IFERROR(INDEX($D$7:$D$13,MATCH(Clean_Data!J177,$A$7:$A$13,0)),0))</f>
        <v/>
      </c>
      <c r="AB177" s="59" t="str">
        <f>IF(Clean_Data!A177="","",IF(AND(AA177=1,Clean_Data!V177="Yes"),1,0))</f>
        <v/>
      </c>
      <c r="AC177" s="59" t="str">
        <f>IF(Clean_Data!A177="","",IF(Clean_Data!W177="Yes",1,0))</f>
        <v/>
      </c>
      <c r="AD177" s="59" t="str">
        <f>IF(AB177=1,Settings!$B$2-Clean_Data!N177+ROW()/100000,"")</f>
        <v/>
      </c>
      <c r="AE177" s="59" t="str">
        <f>IF(AC177=1,Clean_Data!U177+ROW()/100000,"")</f>
        <v/>
      </c>
      <c r="AF177" s="59" t="str">
        <f>IF(Clean_Data!A177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177)))&gt;0,1,0))</f>
        <v/>
      </c>
      <c r="AG177" s="59" t="str">
        <f>IF(Clean_Data!A177="","",IF(SUMPRODUCT(--ISNUMBER(SEARCH({"DATE_ORDER","DATE_FUTURE","FOLLOWUP_BEFORE"},Clean_Data!S177)))&gt;0,1,0))</f>
        <v/>
      </c>
    </row>
    <row r="178" spans="27:33" x14ac:dyDescent="0.35">
      <c r="AA178" s="59" t="str">
        <f>IF(Clean_Data!A178="","",IFERROR(INDEX($D$7:$D$13,MATCH(Clean_Data!J178,$A$7:$A$13,0)),0))</f>
        <v/>
      </c>
      <c r="AB178" s="59" t="str">
        <f>IF(Clean_Data!A178="","",IF(AND(AA178=1,Clean_Data!V178="Yes"),1,0))</f>
        <v/>
      </c>
      <c r="AC178" s="59" t="str">
        <f>IF(Clean_Data!A178="","",IF(Clean_Data!W178="Yes",1,0))</f>
        <v/>
      </c>
      <c r="AD178" s="59" t="str">
        <f>IF(AB178=1,Settings!$B$2-Clean_Data!N178+ROW()/100000,"")</f>
        <v/>
      </c>
      <c r="AE178" s="59" t="str">
        <f>IF(AC178=1,Clean_Data!U178+ROW()/100000,"")</f>
        <v/>
      </c>
      <c r="AF178" s="59" t="str">
        <f>IF(Clean_Data!A178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178)))&gt;0,1,0))</f>
        <v/>
      </c>
      <c r="AG178" s="59" t="str">
        <f>IF(Clean_Data!A178="","",IF(SUMPRODUCT(--ISNUMBER(SEARCH({"DATE_ORDER","DATE_FUTURE","FOLLOWUP_BEFORE"},Clean_Data!S178)))&gt;0,1,0))</f>
        <v/>
      </c>
    </row>
    <row r="179" spans="27:33" x14ac:dyDescent="0.35">
      <c r="AA179" s="59" t="str">
        <f>IF(Clean_Data!A179="","",IFERROR(INDEX($D$7:$D$13,MATCH(Clean_Data!J179,$A$7:$A$13,0)),0))</f>
        <v/>
      </c>
      <c r="AB179" s="59" t="str">
        <f>IF(Clean_Data!A179="","",IF(AND(AA179=1,Clean_Data!V179="Yes"),1,0))</f>
        <v/>
      </c>
      <c r="AC179" s="59" t="str">
        <f>IF(Clean_Data!A179="","",IF(Clean_Data!W179="Yes",1,0))</f>
        <v/>
      </c>
      <c r="AD179" s="59" t="str">
        <f>IF(AB179=1,Settings!$B$2-Clean_Data!N179+ROW()/100000,"")</f>
        <v/>
      </c>
      <c r="AE179" s="59" t="str">
        <f>IF(AC179=1,Clean_Data!U179+ROW()/100000,"")</f>
        <v/>
      </c>
      <c r="AF179" s="59" t="str">
        <f>IF(Clean_Data!A179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179)))&gt;0,1,0))</f>
        <v/>
      </c>
      <c r="AG179" s="59" t="str">
        <f>IF(Clean_Data!A179="","",IF(SUMPRODUCT(--ISNUMBER(SEARCH({"DATE_ORDER","DATE_FUTURE","FOLLOWUP_BEFORE"},Clean_Data!S179)))&gt;0,1,0))</f>
        <v/>
      </c>
    </row>
    <row r="180" spans="27:33" x14ac:dyDescent="0.35">
      <c r="AA180" s="59" t="str">
        <f>IF(Clean_Data!A180="","",IFERROR(INDEX($D$7:$D$13,MATCH(Clean_Data!J180,$A$7:$A$13,0)),0))</f>
        <v/>
      </c>
      <c r="AB180" s="59" t="str">
        <f>IF(Clean_Data!A180="","",IF(AND(AA180=1,Clean_Data!V180="Yes"),1,0))</f>
        <v/>
      </c>
      <c r="AC180" s="59" t="str">
        <f>IF(Clean_Data!A180="","",IF(Clean_Data!W180="Yes",1,0))</f>
        <v/>
      </c>
      <c r="AD180" s="59" t="str">
        <f>IF(AB180=1,Settings!$B$2-Clean_Data!N180+ROW()/100000,"")</f>
        <v/>
      </c>
      <c r="AE180" s="59" t="str">
        <f>IF(AC180=1,Clean_Data!U180+ROW()/100000,"")</f>
        <v/>
      </c>
      <c r="AF180" s="59" t="str">
        <f>IF(Clean_Data!A180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180)))&gt;0,1,0))</f>
        <v/>
      </c>
      <c r="AG180" s="59" t="str">
        <f>IF(Clean_Data!A180="","",IF(SUMPRODUCT(--ISNUMBER(SEARCH({"DATE_ORDER","DATE_FUTURE","FOLLOWUP_BEFORE"},Clean_Data!S180)))&gt;0,1,0))</f>
        <v/>
      </c>
    </row>
    <row r="181" spans="27:33" x14ac:dyDescent="0.35">
      <c r="AA181" s="59" t="str">
        <f>IF(Clean_Data!A181="","",IFERROR(INDEX($D$7:$D$13,MATCH(Clean_Data!J181,$A$7:$A$13,0)),0))</f>
        <v/>
      </c>
      <c r="AB181" s="59" t="str">
        <f>IF(Clean_Data!A181="","",IF(AND(AA181=1,Clean_Data!V181="Yes"),1,0))</f>
        <v/>
      </c>
      <c r="AC181" s="59" t="str">
        <f>IF(Clean_Data!A181="","",IF(Clean_Data!W181="Yes",1,0))</f>
        <v/>
      </c>
      <c r="AD181" s="59" t="str">
        <f>IF(AB181=1,Settings!$B$2-Clean_Data!N181+ROW()/100000,"")</f>
        <v/>
      </c>
      <c r="AE181" s="59" t="str">
        <f>IF(AC181=1,Clean_Data!U181+ROW()/100000,"")</f>
        <v/>
      </c>
      <c r="AF181" s="59" t="str">
        <f>IF(Clean_Data!A181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181)))&gt;0,1,0))</f>
        <v/>
      </c>
      <c r="AG181" s="59" t="str">
        <f>IF(Clean_Data!A181="","",IF(SUMPRODUCT(--ISNUMBER(SEARCH({"DATE_ORDER","DATE_FUTURE","FOLLOWUP_BEFORE"},Clean_Data!S181)))&gt;0,1,0))</f>
        <v/>
      </c>
    </row>
    <row r="182" spans="27:33" x14ac:dyDescent="0.35">
      <c r="AA182" s="59" t="str">
        <f>IF(Clean_Data!A182="","",IFERROR(INDEX($D$7:$D$13,MATCH(Clean_Data!J182,$A$7:$A$13,0)),0))</f>
        <v/>
      </c>
      <c r="AB182" s="59" t="str">
        <f>IF(Clean_Data!A182="","",IF(AND(AA182=1,Clean_Data!V182="Yes"),1,0))</f>
        <v/>
      </c>
      <c r="AC182" s="59" t="str">
        <f>IF(Clean_Data!A182="","",IF(Clean_Data!W182="Yes",1,0))</f>
        <v/>
      </c>
      <c r="AD182" s="59" t="str">
        <f>IF(AB182=1,Settings!$B$2-Clean_Data!N182+ROW()/100000,"")</f>
        <v/>
      </c>
      <c r="AE182" s="59" t="str">
        <f>IF(AC182=1,Clean_Data!U182+ROW()/100000,"")</f>
        <v/>
      </c>
      <c r="AF182" s="59" t="str">
        <f>IF(Clean_Data!A182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182)))&gt;0,1,0))</f>
        <v/>
      </c>
      <c r="AG182" s="59" t="str">
        <f>IF(Clean_Data!A182="","",IF(SUMPRODUCT(--ISNUMBER(SEARCH({"DATE_ORDER","DATE_FUTURE","FOLLOWUP_BEFORE"},Clean_Data!S182)))&gt;0,1,0))</f>
        <v/>
      </c>
    </row>
    <row r="183" spans="27:33" x14ac:dyDescent="0.35">
      <c r="AA183" s="59" t="str">
        <f>IF(Clean_Data!A183="","",IFERROR(INDEX($D$7:$D$13,MATCH(Clean_Data!J183,$A$7:$A$13,0)),0))</f>
        <v/>
      </c>
      <c r="AB183" s="59" t="str">
        <f>IF(Clean_Data!A183="","",IF(AND(AA183=1,Clean_Data!V183="Yes"),1,0))</f>
        <v/>
      </c>
      <c r="AC183" s="59" t="str">
        <f>IF(Clean_Data!A183="","",IF(Clean_Data!W183="Yes",1,0))</f>
        <v/>
      </c>
      <c r="AD183" s="59" t="str">
        <f>IF(AB183=1,Settings!$B$2-Clean_Data!N183+ROW()/100000,"")</f>
        <v/>
      </c>
      <c r="AE183" s="59" t="str">
        <f>IF(AC183=1,Clean_Data!U183+ROW()/100000,"")</f>
        <v/>
      </c>
      <c r="AF183" s="59" t="str">
        <f>IF(Clean_Data!A183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183)))&gt;0,1,0))</f>
        <v/>
      </c>
      <c r="AG183" s="59" t="str">
        <f>IF(Clean_Data!A183="","",IF(SUMPRODUCT(--ISNUMBER(SEARCH({"DATE_ORDER","DATE_FUTURE","FOLLOWUP_BEFORE"},Clean_Data!S183)))&gt;0,1,0))</f>
        <v/>
      </c>
    </row>
    <row r="184" spans="27:33" x14ac:dyDescent="0.35">
      <c r="AA184" s="59" t="str">
        <f>IF(Clean_Data!A184="","",IFERROR(INDEX($D$7:$D$13,MATCH(Clean_Data!J184,$A$7:$A$13,0)),0))</f>
        <v/>
      </c>
      <c r="AB184" s="59" t="str">
        <f>IF(Clean_Data!A184="","",IF(AND(AA184=1,Clean_Data!V184="Yes"),1,0))</f>
        <v/>
      </c>
      <c r="AC184" s="59" t="str">
        <f>IF(Clean_Data!A184="","",IF(Clean_Data!W184="Yes",1,0))</f>
        <v/>
      </c>
      <c r="AD184" s="59" t="str">
        <f>IF(AB184=1,Settings!$B$2-Clean_Data!N184+ROW()/100000,"")</f>
        <v/>
      </c>
      <c r="AE184" s="59" t="str">
        <f>IF(AC184=1,Clean_Data!U184+ROW()/100000,"")</f>
        <v/>
      </c>
      <c r="AF184" s="59" t="str">
        <f>IF(Clean_Data!A184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184)))&gt;0,1,0))</f>
        <v/>
      </c>
      <c r="AG184" s="59" t="str">
        <f>IF(Clean_Data!A184="","",IF(SUMPRODUCT(--ISNUMBER(SEARCH({"DATE_ORDER","DATE_FUTURE","FOLLOWUP_BEFORE"},Clean_Data!S184)))&gt;0,1,0))</f>
        <v/>
      </c>
    </row>
    <row r="185" spans="27:33" x14ac:dyDescent="0.35">
      <c r="AA185" s="59" t="str">
        <f>IF(Clean_Data!A185="","",IFERROR(INDEX($D$7:$D$13,MATCH(Clean_Data!J185,$A$7:$A$13,0)),0))</f>
        <v/>
      </c>
      <c r="AB185" s="59" t="str">
        <f>IF(Clean_Data!A185="","",IF(AND(AA185=1,Clean_Data!V185="Yes"),1,0))</f>
        <v/>
      </c>
      <c r="AC185" s="59" t="str">
        <f>IF(Clean_Data!A185="","",IF(Clean_Data!W185="Yes",1,0))</f>
        <v/>
      </c>
      <c r="AD185" s="59" t="str">
        <f>IF(AB185=1,Settings!$B$2-Clean_Data!N185+ROW()/100000,"")</f>
        <v/>
      </c>
      <c r="AE185" s="59" t="str">
        <f>IF(AC185=1,Clean_Data!U185+ROW()/100000,"")</f>
        <v/>
      </c>
      <c r="AF185" s="59" t="str">
        <f>IF(Clean_Data!A185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185)))&gt;0,1,0))</f>
        <v/>
      </c>
      <c r="AG185" s="59" t="str">
        <f>IF(Clean_Data!A185="","",IF(SUMPRODUCT(--ISNUMBER(SEARCH({"DATE_ORDER","DATE_FUTURE","FOLLOWUP_BEFORE"},Clean_Data!S185)))&gt;0,1,0))</f>
        <v/>
      </c>
    </row>
    <row r="186" spans="27:33" x14ac:dyDescent="0.35">
      <c r="AA186" s="59" t="str">
        <f>IF(Clean_Data!A186="","",IFERROR(INDEX($D$7:$D$13,MATCH(Clean_Data!J186,$A$7:$A$13,0)),0))</f>
        <v/>
      </c>
      <c r="AB186" s="59" t="str">
        <f>IF(Clean_Data!A186="","",IF(AND(AA186=1,Clean_Data!V186="Yes"),1,0))</f>
        <v/>
      </c>
      <c r="AC186" s="59" t="str">
        <f>IF(Clean_Data!A186="","",IF(Clean_Data!W186="Yes",1,0))</f>
        <v/>
      </c>
      <c r="AD186" s="59" t="str">
        <f>IF(AB186=1,Settings!$B$2-Clean_Data!N186+ROW()/100000,"")</f>
        <v/>
      </c>
      <c r="AE186" s="59" t="str">
        <f>IF(AC186=1,Clean_Data!U186+ROW()/100000,"")</f>
        <v/>
      </c>
      <c r="AF186" s="59" t="str">
        <f>IF(Clean_Data!A186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186)))&gt;0,1,0))</f>
        <v/>
      </c>
      <c r="AG186" s="59" t="str">
        <f>IF(Clean_Data!A186="","",IF(SUMPRODUCT(--ISNUMBER(SEARCH({"DATE_ORDER","DATE_FUTURE","FOLLOWUP_BEFORE"},Clean_Data!S186)))&gt;0,1,0))</f>
        <v/>
      </c>
    </row>
    <row r="187" spans="27:33" x14ac:dyDescent="0.35">
      <c r="AA187" s="59" t="str">
        <f>IF(Clean_Data!A187="","",IFERROR(INDEX($D$7:$D$13,MATCH(Clean_Data!J187,$A$7:$A$13,0)),0))</f>
        <v/>
      </c>
      <c r="AB187" s="59" t="str">
        <f>IF(Clean_Data!A187="","",IF(AND(AA187=1,Clean_Data!V187="Yes"),1,0))</f>
        <v/>
      </c>
      <c r="AC187" s="59" t="str">
        <f>IF(Clean_Data!A187="","",IF(Clean_Data!W187="Yes",1,0))</f>
        <v/>
      </c>
      <c r="AD187" s="59" t="str">
        <f>IF(AB187=1,Settings!$B$2-Clean_Data!N187+ROW()/100000,"")</f>
        <v/>
      </c>
      <c r="AE187" s="59" t="str">
        <f>IF(AC187=1,Clean_Data!U187+ROW()/100000,"")</f>
        <v/>
      </c>
      <c r="AF187" s="59" t="str">
        <f>IF(Clean_Data!A187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187)))&gt;0,1,0))</f>
        <v/>
      </c>
      <c r="AG187" s="59" t="str">
        <f>IF(Clean_Data!A187="","",IF(SUMPRODUCT(--ISNUMBER(SEARCH({"DATE_ORDER","DATE_FUTURE","FOLLOWUP_BEFORE"},Clean_Data!S187)))&gt;0,1,0))</f>
        <v/>
      </c>
    </row>
    <row r="188" spans="27:33" x14ac:dyDescent="0.35">
      <c r="AA188" s="59" t="str">
        <f>IF(Clean_Data!A188="","",IFERROR(INDEX($D$7:$D$13,MATCH(Clean_Data!J188,$A$7:$A$13,0)),0))</f>
        <v/>
      </c>
      <c r="AB188" s="59" t="str">
        <f>IF(Clean_Data!A188="","",IF(AND(AA188=1,Clean_Data!V188="Yes"),1,0))</f>
        <v/>
      </c>
      <c r="AC188" s="59" t="str">
        <f>IF(Clean_Data!A188="","",IF(Clean_Data!W188="Yes",1,0))</f>
        <v/>
      </c>
      <c r="AD188" s="59" t="str">
        <f>IF(AB188=1,Settings!$B$2-Clean_Data!N188+ROW()/100000,"")</f>
        <v/>
      </c>
      <c r="AE188" s="59" t="str">
        <f>IF(AC188=1,Clean_Data!U188+ROW()/100000,"")</f>
        <v/>
      </c>
      <c r="AF188" s="59" t="str">
        <f>IF(Clean_Data!A188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188)))&gt;0,1,0))</f>
        <v/>
      </c>
      <c r="AG188" s="59" t="str">
        <f>IF(Clean_Data!A188="","",IF(SUMPRODUCT(--ISNUMBER(SEARCH({"DATE_ORDER","DATE_FUTURE","FOLLOWUP_BEFORE"},Clean_Data!S188)))&gt;0,1,0))</f>
        <v/>
      </c>
    </row>
    <row r="189" spans="27:33" x14ac:dyDescent="0.35">
      <c r="AA189" s="59" t="str">
        <f>IF(Clean_Data!A189="","",IFERROR(INDEX($D$7:$D$13,MATCH(Clean_Data!J189,$A$7:$A$13,0)),0))</f>
        <v/>
      </c>
      <c r="AB189" s="59" t="str">
        <f>IF(Clean_Data!A189="","",IF(AND(AA189=1,Clean_Data!V189="Yes"),1,0))</f>
        <v/>
      </c>
      <c r="AC189" s="59" t="str">
        <f>IF(Clean_Data!A189="","",IF(Clean_Data!W189="Yes",1,0))</f>
        <v/>
      </c>
      <c r="AD189" s="59" t="str">
        <f>IF(AB189=1,Settings!$B$2-Clean_Data!N189+ROW()/100000,"")</f>
        <v/>
      </c>
      <c r="AE189" s="59" t="str">
        <f>IF(AC189=1,Clean_Data!U189+ROW()/100000,"")</f>
        <v/>
      </c>
      <c r="AF189" s="59" t="str">
        <f>IF(Clean_Data!A189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189)))&gt;0,1,0))</f>
        <v/>
      </c>
      <c r="AG189" s="59" t="str">
        <f>IF(Clean_Data!A189="","",IF(SUMPRODUCT(--ISNUMBER(SEARCH({"DATE_ORDER","DATE_FUTURE","FOLLOWUP_BEFORE"},Clean_Data!S189)))&gt;0,1,0))</f>
        <v/>
      </c>
    </row>
    <row r="190" spans="27:33" x14ac:dyDescent="0.35">
      <c r="AA190" s="59" t="str">
        <f>IF(Clean_Data!A190="","",IFERROR(INDEX($D$7:$D$13,MATCH(Clean_Data!J190,$A$7:$A$13,0)),0))</f>
        <v/>
      </c>
      <c r="AB190" s="59" t="str">
        <f>IF(Clean_Data!A190="","",IF(AND(AA190=1,Clean_Data!V190="Yes"),1,0))</f>
        <v/>
      </c>
      <c r="AC190" s="59" t="str">
        <f>IF(Clean_Data!A190="","",IF(Clean_Data!W190="Yes",1,0))</f>
        <v/>
      </c>
      <c r="AD190" s="59" t="str">
        <f>IF(AB190=1,Settings!$B$2-Clean_Data!N190+ROW()/100000,"")</f>
        <v/>
      </c>
      <c r="AE190" s="59" t="str">
        <f>IF(AC190=1,Clean_Data!U190+ROW()/100000,"")</f>
        <v/>
      </c>
      <c r="AF190" s="59" t="str">
        <f>IF(Clean_Data!A190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190)))&gt;0,1,0))</f>
        <v/>
      </c>
      <c r="AG190" s="59" t="str">
        <f>IF(Clean_Data!A190="","",IF(SUMPRODUCT(--ISNUMBER(SEARCH({"DATE_ORDER","DATE_FUTURE","FOLLOWUP_BEFORE"},Clean_Data!S190)))&gt;0,1,0))</f>
        <v/>
      </c>
    </row>
    <row r="191" spans="27:33" x14ac:dyDescent="0.35">
      <c r="AA191" s="59" t="str">
        <f>IF(Clean_Data!A191="","",IFERROR(INDEX($D$7:$D$13,MATCH(Clean_Data!J191,$A$7:$A$13,0)),0))</f>
        <v/>
      </c>
      <c r="AB191" s="59" t="str">
        <f>IF(Clean_Data!A191="","",IF(AND(AA191=1,Clean_Data!V191="Yes"),1,0))</f>
        <v/>
      </c>
      <c r="AC191" s="59" t="str">
        <f>IF(Clean_Data!A191="","",IF(Clean_Data!W191="Yes",1,0))</f>
        <v/>
      </c>
      <c r="AD191" s="59" t="str">
        <f>IF(AB191=1,Settings!$B$2-Clean_Data!N191+ROW()/100000,"")</f>
        <v/>
      </c>
      <c r="AE191" s="59" t="str">
        <f>IF(AC191=1,Clean_Data!U191+ROW()/100000,"")</f>
        <v/>
      </c>
      <c r="AF191" s="59" t="str">
        <f>IF(Clean_Data!A191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191)))&gt;0,1,0))</f>
        <v/>
      </c>
      <c r="AG191" s="59" t="str">
        <f>IF(Clean_Data!A191="","",IF(SUMPRODUCT(--ISNUMBER(SEARCH({"DATE_ORDER","DATE_FUTURE","FOLLOWUP_BEFORE"},Clean_Data!S191)))&gt;0,1,0))</f>
        <v/>
      </c>
    </row>
    <row r="192" spans="27:33" x14ac:dyDescent="0.35">
      <c r="AA192" s="59" t="str">
        <f>IF(Clean_Data!A192="","",IFERROR(INDEX($D$7:$D$13,MATCH(Clean_Data!J192,$A$7:$A$13,0)),0))</f>
        <v/>
      </c>
      <c r="AB192" s="59" t="str">
        <f>IF(Clean_Data!A192="","",IF(AND(AA192=1,Clean_Data!V192="Yes"),1,0))</f>
        <v/>
      </c>
      <c r="AC192" s="59" t="str">
        <f>IF(Clean_Data!A192="","",IF(Clean_Data!W192="Yes",1,0))</f>
        <v/>
      </c>
      <c r="AD192" s="59" t="str">
        <f>IF(AB192=1,Settings!$B$2-Clean_Data!N192+ROW()/100000,"")</f>
        <v/>
      </c>
      <c r="AE192" s="59" t="str">
        <f>IF(AC192=1,Clean_Data!U192+ROW()/100000,"")</f>
        <v/>
      </c>
      <c r="AF192" s="59" t="str">
        <f>IF(Clean_Data!A192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192)))&gt;0,1,0))</f>
        <v/>
      </c>
      <c r="AG192" s="59" t="str">
        <f>IF(Clean_Data!A192="","",IF(SUMPRODUCT(--ISNUMBER(SEARCH({"DATE_ORDER","DATE_FUTURE","FOLLOWUP_BEFORE"},Clean_Data!S192)))&gt;0,1,0))</f>
        <v/>
      </c>
    </row>
    <row r="193" spans="27:33" x14ac:dyDescent="0.35">
      <c r="AA193" s="59" t="str">
        <f>IF(Clean_Data!A193="","",IFERROR(INDEX($D$7:$D$13,MATCH(Clean_Data!J193,$A$7:$A$13,0)),0))</f>
        <v/>
      </c>
      <c r="AB193" s="59" t="str">
        <f>IF(Clean_Data!A193="","",IF(AND(AA193=1,Clean_Data!V193="Yes"),1,0))</f>
        <v/>
      </c>
      <c r="AC193" s="59" t="str">
        <f>IF(Clean_Data!A193="","",IF(Clean_Data!W193="Yes",1,0))</f>
        <v/>
      </c>
      <c r="AD193" s="59" t="str">
        <f>IF(AB193=1,Settings!$B$2-Clean_Data!N193+ROW()/100000,"")</f>
        <v/>
      </c>
      <c r="AE193" s="59" t="str">
        <f>IF(AC193=1,Clean_Data!U193+ROW()/100000,"")</f>
        <v/>
      </c>
      <c r="AF193" s="59" t="str">
        <f>IF(Clean_Data!A193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193)))&gt;0,1,0))</f>
        <v/>
      </c>
      <c r="AG193" s="59" t="str">
        <f>IF(Clean_Data!A193="","",IF(SUMPRODUCT(--ISNUMBER(SEARCH({"DATE_ORDER","DATE_FUTURE","FOLLOWUP_BEFORE"},Clean_Data!S193)))&gt;0,1,0))</f>
        <v/>
      </c>
    </row>
    <row r="194" spans="27:33" x14ac:dyDescent="0.35">
      <c r="AA194" s="59" t="str">
        <f>IF(Clean_Data!A194="","",IFERROR(INDEX($D$7:$D$13,MATCH(Clean_Data!J194,$A$7:$A$13,0)),0))</f>
        <v/>
      </c>
      <c r="AB194" s="59" t="str">
        <f>IF(Clean_Data!A194="","",IF(AND(AA194=1,Clean_Data!V194="Yes"),1,0))</f>
        <v/>
      </c>
      <c r="AC194" s="59" t="str">
        <f>IF(Clean_Data!A194="","",IF(Clean_Data!W194="Yes",1,0))</f>
        <v/>
      </c>
      <c r="AD194" s="59" t="str">
        <f>IF(AB194=1,Settings!$B$2-Clean_Data!N194+ROW()/100000,"")</f>
        <v/>
      </c>
      <c r="AE194" s="59" t="str">
        <f>IF(AC194=1,Clean_Data!U194+ROW()/100000,"")</f>
        <v/>
      </c>
      <c r="AF194" s="59" t="str">
        <f>IF(Clean_Data!A194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194)))&gt;0,1,0))</f>
        <v/>
      </c>
      <c r="AG194" s="59" t="str">
        <f>IF(Clean_Data!A194="","",IF(SUMPRODUCT(--ISNUMBER(SEARCH({"DATE_ORDER","DATE_FUTURE","FOLLOWUP_BEFORE"},Clean_Data!S194)))&gt;0,1,0))</f>
        <v/>
      </c>
    </row>
    <row r="195" spans="27:33" x14ac:dyDescent="0.35">
      <c r="AA195" s="59" t="str">
        <f>IF(Clean_Data!A195="","",IFERROR(INDEX($D$7:$D$13,MATCH(Clean_Data!J195,$A$7:$A$13,0)),0))</f>
        <v/>
      </c>
      <c r="AB195" s="59" t="str">
        <f>IF(Clean_Data!A195="","",IF(AND(AA195=1,Clean_Data!V195="Yes"),1,0))</f>
        <v/>
      </c>
      <c r="AC195" s="59" t="str">
        <f>IF(Clean_Data!A195="","",IF(Clean_Data!W195="Yes",1,0))</f>
        <v/>
      </c>
      <c r="AD195" s="59" t="str">
        <f>IF(AB195=1,Settings!$B$2-Clean_Data!N195+ROW()/100000,"")</f>
        <v/>
      </c>
      <c r="AE195" s="59" t="str">
        <f>IF(AC195=1,Clean_Data!U195+ROW()/100000,"")</f>
        <v/>
      </c>
      <c r="AF195" s="59" t="str">
        <f>IF(Clean_Data!A195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195)))&gt;0,1,0))</f>
        <v/>
      </c>
      <c r="AG195" s="59" t="str">
        <f>IF(Clean_Data!A195="","",IF(SUMPRODUCT(--ISNUMBER(SEARCH({"DATE_ORDER","DATE_FUTURE","FOLLOWUP_BEFORE"},Clean_Data!S195)))&gt;0,1,0))</f>
        <v/>
      </c>
    </row>
    <row r="196" spans="27:33" x14ac:dyDescent="0.35">
      <c r="AA196" s="59" t="str">
        <f>IF(Clean_Data!A196="","",IFERROR(INDEX($D$7:$D$13,MATCH(Clean_Data!J196,$A$7:$A$13,0)),0))</f>
        <v/>
      </c>
      <c r="AB196" s="59" t="str">
        <f>IF(Clean_Data!A196="","",IF(AND(AA196=1,Clean_Data!V196="Yes"),1,0))</f>
        <v/>
      </c>
      <c r="AC196" s="59" t="str">
        <f>IF(Clean_Data!A196="","",IF(Clean_Data!W196="Yes",1,0))</f>
        <v/>
      </c>
      <c r="AD196" s="59" t="str">
        <f>IF(AB196=1,Settings!$B$2-Clean_Data!N196+ROW()/100000,"")</f>
        <v/>
      </c>
      <c r="AE196" s="59" t="str">
        <f>IF(AC196=1,Clean_Data!U196+ROW()/100000,"")</f>
        <v/>
      </c>
      <c r="AF196" s="59" t="str">
        <f>IF(Clean_Data!A196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196)))&gt;0,1,0))</f>
        <v/>
      </c>
      <c r="AG196" s="59" t="str">
        <f>IF(Clean_Data!A196="","",IF(SUMPRODUCT(--ISNUMBER(SEARCH({"DATE_ORDER","DATE_FUTURE","FOLLOWUP_BEFORE"},Clean_Data!S196)))&gt;0,1,0))</f>
        <v/>
      </c>
    </row>
    <row r="197" spans="27:33" x14ac:dyDescent="0.35">
      <c r="AA197" s="59" t="str">
        <f>IF(Clean_Data!A197="","",IFERROR(INDEX($D$7:$D$13,MATCH(Clean_Data!J197,$A$7:$A$13,0)),0))</f>
        <v/>
      </c>
      <c r="AB197" s="59" t="str">
        <f>IF(Clean_Data!A197="","",IF(AND(AA197=1,Clean_Data!V197="Yes"),1,0))</f>
        <v/>
      </c>
      <c r="AC197" s="59" t="str">
        <f>IF(Clean_Data!A197="","",IF(Clean_Data!W197="Yes",1,0))</f>
        <v/>
      </c>
      <c r="AD197" s="59" t="str">
        <f>IF(AB197=1,Settings!$B$2-Clean_Data!N197+ROW()/100000,"")</f>
        <v/>
      </c>
      <c r="AE197" s="59" t="str">
        <f>IF(AC197=1,Clean_Data!U197+ROW()/100000,"")</f>
        <v/>
      </c>
      <c r="AF197" s="59" t="str">
        <f>IF(Clean_Data!A197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197)))&gt;0,1,0))</f>
        <v/>
      </c>
      <c r="AG197" s="59" t="str">
        <f>IF(Clean_Data!A197="","",IF(SUMPRODUCT(--ISNUMBER(SEARCH({"DATE_ORDER","DATE_FUTURE","FOLLOWUP_BEFORE"},Clean_Data!S197)))&gt;0,1,0))</f>
        <v/>
      </c>
    </row>
    <row r="198" spans="27:33" x14ac:dyDescent="0.35">
      <c r="AA198" s="59" t="str">
        <f>IF(Clean_Data!A198="","",IFERROR(INDEX($D$7:$D$13,MATCH(Clean_Data!J198,$A$7:$A$13,0)),0))</f>
        <v/>
      </c>
      <c r="AB198" s="59" t="str">
        <f>IF(Clean_Data!A198="","",IF(AND(AA198=1,Clean_Data!V198="Yes"),1,0))</f>
        <v/>
      </c>
      <c r="AC198" s="59" t="str">
        <f>IF(Clean_Data!A198="","",IF(Clean_Data!W198="Yes",1,0))</f>
        <v/>
      </c>
      <c r="AD198" s="59" t="str">
        <f>IF(AB198=1,Settings!$B$2-Clean_Data!N198+ROW()/100000,"")</f>
        <v/>
      </c>
      <c r="AE198" s="59" t="str">
        <f>IF(AC198=1,Clean_Data!U198+ROW()/100000,"")</f>
        <v/>
      </c>
      <c r="AF198" s="59" t="str">
        <f>IF(Clean_Data!A198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198)))&gt;0,1,0))</f>
        <v/>
      </c>
      <c r="AG198" s="59" t="str">
        <f>IF(Clean_Data!A198="","",IF(SUMPRODUCT(--ISNUMBER(SEARCH({"DATE_ORDER","DATE_FUTURE","FOLLOWUP_BEFORE"},Clean_Data!S198)))&gt;0,1,0))</f>
        <v/>
      </c>
    </row>
    <row r="199" spans="27:33" x14ac:dyDescent="0.35">
      <c r="AA199" s="59" t="str">
        <f>IF(Clean_Data!A199="","",IFERROR(INDEX($D$7:$D$13,MATCH(Clean_Data!J199,$A$7:$A$13,0)),0))</f>
        <v/>
      </c>
      <c r="AB199" s="59" t="str">
        <f>IF(Clean_Data!A199="","",IF(AND(AA199=1,Clean_Data!V199="Yes"),1,0))</f>
        <v/>
      </c>
      <c r="AC199" s="59" t="str">
        <f>IF(Clean_Data!A199="","",IF(Clean_Data!W199="Yes",1,0))</f>
        <v/>
      </c>
      <c r="AD199" s="59" t="str">
        <f>IF(AB199=1,Settings!$B$2-Clean_Data!N199+ROW()/100000,"")</f>
        <v/>
      </c>
      <c r="AE199" s="59" t="str">
        <f>IF(AC199=1,Clean_Data!U199+ROW()/100000,"")</f>
        <v/>
      </c>
      <c r="AF199" s="59" t="str">
        <f>IF(Clean_Data!A199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199)))&gt;0,1,0))</f>
        <v/>
      </c>
      <c r="AG199" s="59" t="str">
        <f>IF(Clean_Data!A199="","",IF(SUMPRODUCT(--ISNUMBER(SEARCH({"DATE_ORDER","DATE_FUTURE","FOLLOWUP_BEFORE"},Clean_Data!S199)))&gt;0,1,0))</f>
        <v/>
      </c>
    </row>
    <row r="200" spans="27:33" x14ac:dyDescent="0.35">
      <c r="AA200" s="59" t="str">
        <f>IF(Clean_Data!A200="","",IFERROR(INDEX($D$7:$D$13,MATCH(Clean_Data!J200,$A$7:$A$13,0)),0))</f>
        <v/>
      </c>
      <c r="AB200" s="59" t="str">
        <f>IF(Clean_Data!A200="","",IF(AND(AA200=1,Clean_Data!V200="Yes"),1,0))</f>
        <v/>
      </c>
      <c r="AC200" s="59" t="str">
        <f>IF(Clean_Data!A200="","",IF(Clean_Data!W200="Yes",1,0))</f>
        <v/>
      </c>
      <c r="AD200" s="59" t="str">
        <f>IF(AB200=1,Settings!$B$2-Clean_Data!N200+ROW()/100000,"")</f>
        <v/>
      </c>
      <c r="AE200" s="59" t="str">
        <f>IF(AC200=1,Clean_Data!U200+ROW()/100000,"")</f>
        <v/>
      </c>
      <c r="AF200" s="59" t="str">
        <f>IF(Clean_Data!A200="","",IF(SUMPRODUCT(--ISNUMBER(SEARCH({"STATUS_CONFLICT","NEAR_DUP_KEPT","ID_INFERRED","REGION_REVIEW","DATE_ORDER","DATE_FUTURE","FOLLOWUP_BEFORE","INTERACTIONS_","OWNER_MISSING","ENG_MISSING","CHANNEL_MISSING","FOLLOWUP_MISSING","EMAIL_MISSING","EMAIL_INVALID","PHONE_MISSING","PHONE_INVALID"},Clean_Data!S200)))&gt;0,1,0))</f>
        <v/>
      </c>
      <c r="AG200" s="59" t="str">
        <f>IF(Clean_Data!A200="","",IF(SUMPRODUCT(--ISNUMBER(SEARCH({"DATE_ORDER","DATE_FUTURE","FOLLOWUP_BEFORE"},Clean_Data!S200)))&gt;0,1,0))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Dashboard</vt:lpstr>
      <vt:lpstr>Data_Quality_Review</vt:lpstr>
      <vt:lpstr>Settings</vt:lpstr>
      <vt:lpstr>Clean_Data</vt:lpstr>
      <vt:lpstr>Removed_Rows</vt:lpstr>
      <vt:lpstr>Cleaning_Log</vt:lpstr>
      <vt:lpstr>Raw_Data</vt:lpstr>
      <vt:lpstr>Dash_Calc</vt:lpstr>
      <vt:lpstr>Dashboard!Print_Area</vt:lpstr>
      <vt:lpstr>Data_Quality_Review!Print_Area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Arya Pawaskar</cp:lastModifiedBy>
  <cp:revision>1</cp:revision>
  <dcterms:created xsi:type="dcterms:W3CDTF">2026-10-05T05:58:20Z</dcterms:created>
  <dcterms:modified xsi:type="dcterms:W3CDTF">2026-10-07T07:47:19Z</dcterms:modified>
  <dc:language>en-US</dc:language>
</cp:coreProperties>
</file>